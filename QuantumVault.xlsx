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/Documents/Uni/Cursos/4to - Argentina/Evaluación de proyectos de inversión/Proyecto ff/"/>
    </mc:Choice>
  </mc:AlternateContent>
  <xr:revisionPtr revIDLastSave="0" documentId="13_ncr:1_{8C3D227D-25DB-D54F-A430-00965B6FB9E2}" xr6:coauthVersionLast="47" xr6:coauthVersionMax="47" xr10:uidLastSave="{00000000-0000-0000-0000-000000000000}"/>
  <bookViews>
    <workbookView xWindow="0" yWindow="740" windowWidth="29400" windowHeight="18380" activeTab="2" xr2:uid="{4B5F03A4-D28B-4647-9CE2-7721F3E0520B}"/>
  </bookViews>
  <sheets>
    <sheet name="QuantumVault" sheetId="1" r:id="rId1"/>
    <sheet name="QuantumVault VAN=0" sheetId="2" r:id="rId2"/>
    <sheet name="QuantumVault MONTECARLO" sheetId="3" r:id="rId3"/>
  </sheets>
  <definedNames>
    <definedName name="_xlchart.v1.0" hidden="1">QuantumVault!$C$135:$C$155</definedName>
    <definedName name="_xlchart.v1.1" hidden="1">QuantumVault!$D$135:$D$155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6" i="3" l="1"/>
  <c r="W6" i="3"/>
  <c r="X6" i="3"/>
  <c r="Y6" i="3"/>
  <c r="U6" i="3"/>
  <c r="H111" i="3"/>
  <c r="C87" i="3"/>
  <c r="C85" i="3"/>
  <c r="C86" i="3" s="1"/>
  <c r="C81" i="3"/>
  <c r="C114" i="3" s="1"/>
  <c r="C67" i="3"/>
  <c r="H110" i="3" s="1"/>
  <c r="C65" i="3"/>
  <c r="C66" i="3" s="1"/>
  <c r="C63" i="3"/>
  <c r="M43" i="3"/>
  <c r="M44" i="3" s="1"/>
  <c r="C43" i="3"/>
  <c r="C72" i="3" s="1"/>
  <c r="M37" i="3"/>
  <c r="O37" i="3" s="1"/>
  <c r="P37" i="3" s="1"/>
  <c r="Q37" i="3" s="1"/>
  <c r="R37" i="3" s="1"/>
  <c r="M35" i="3"/>
  <c r="O35" i="3" s="1"/>
  <c r="P35" i="3" s="1"/>
  <c r="Q35" i="3" s="1"/>
  <c r="R35" i="3" s="1"/>
  <c r="C31" i="3"/>
  <c r="C29" i="3"/>
  <c r="O25" i="3"/>
  <c r="M36" i="3" s="1"/>
  <c r="O36" i="3" s="1"/>
  <c r="P36" i="3" s="1"/>
  <c r="Q36" i="3" s="1"/>
  <c r="R36" i="3" s="1"/>
  <c r="C24" i="3"/>
  <c r="O20" i="3"/>
  <c r="C18" i="3"/>
  <c r="M49" i="3" s="1"/>
  <c r="N15" i="3"/>
  <c r="O14" i="3"/>
  <c r="O13" i="3"/>
  <c r="O12" i="3"/>
  <c r="O11" i="3"/>
  <c r="O10" i="3"/>
  <c r="O15" i="3" s="1"/>
  <c r="AB9" i="3"/>
  <c r="O8" i="3"/>
  <c r="M33" i="3" s="1"/>
  <c r="AB7" i="3"/>
  <c r="O7" i="3"/>
  <c r="AB6" i="3"/>
  <c r="O6" i="3"/>
  <c r="U5" i="3"/>
  <c r="V5" i="3" s="1"/>
  <c r="H111" i="2"/>
  <c r="C87" i="2"/>
  <c r="C85" i="2"/>
  <c r="C86" i="2" s="1"/>
  <c r="C81" i="2"/>
  <c r="C67" i="2"/>
  <c r="H110" i="2" s="1"/>
  <c r="C65" i="2"/>
  <c r="C66" i="2" s="1"/>
  <c r="C63" i="2"/>
  <c r="M43" i="2"/>
  <c r="M44" i="2" s="1"/>
  <c r="C43" i="2"/>
  <c r="C72" i="2" s="1"/>
  <c r="M37" i="2"/>
  <c r="O37" i="2" s="1"/>
  <c r="P37" i="2" s="1"/>
  <c r="Q37" i="2" s="1"/>
  <c r="R37" i="2" s="1"/>
  <c r="M35" i="2"/>
  <c r="O35" i="2" s="1"/>
  <c r="P35" i="2" s="1"/>
  <c r="Q35" i="2" s="1"/>
  <c r="R35" i="2" s="1"/>
  <c r="C31" i="2"/>
  <c r="C29" i="2"/>
  <c r="O25" i="2"/>
  <c r="M36" i="2" s="1"/>
  <c r="O36" i="2" s="1"/>
  <c r="P36" i="2" s="1"/>
  <c r="Q36" i="2" s="1"/>
  <c r="R36" i="2" s="1"/>
  <c r="C24" i="2"/>
  <c r="O20" i="2"/>
  <c r="C18" i="2"/>
  <c r="M49" i="2" s="1"/>
  <c r="N15" i="2"/>
  <c r="O14" i="2"/>
  <c r="O13" i="2"/>
  <c r="O12" i="2"/>
  <c r="O11" i="2"/>
  <c r="O10" i="2"/>
  <c r="O15" i="2" s="1"/>
  <c r="AB9" i="2"/>
  <c r="O8" i="2"/>
  <c r="M33" i="2" s="1"/>
  <c r="AB7" i="2"/>
  <c r="O7" i="2"/>
  <c r="AB6" i="2"/>
  <c r="O6" i="2"/>
  <c r="U8" i="2"/>
  <c r="D97" i="2" s="1"/>
  <c r="C182" i="1"/>
  <c r="C85" i="1"/>
  <c r="C114" i="1"/>
  <c r="F114" i="1" s="1"/>
  <c r="C145" i="1"/>
  <c r="C148" i="1" s="1"/>
  <c r="C87" i="1"/>
  <c r="C86" i="1"/>
  <c r="C81" i="1"/>
  <c r="E180" i="1"/>
  <c r="F180" i="1"/>
  <c r="G180" i="1"/>
  <c r="H180" i="1"/>
  <c r="D180" i="1"/>
  <c r="E160" i="1"/>
  <c r="O162" i="1"/>
  <c r="N162" i="1"/>
  <c r="M162" i="1"/>
  <c r="L162" i="1"/>
  <c r="K162" i="1"/>
  <c r="E162" i="1"/>
  <c r="F162" i="1"/>
  <c r="G162" i="1"/>
  <c r="H162" i="1"/>
  <c r="I162" i="1"/>
  <c r="D173" i="1"/>
  <c r="D172" i="1"/>
  <c r="D171" i="1"/>
  <c r="D170" i="1"/>
  <c r="D169" i="1"/>
  <c r="D163" i="1"/>
  <c r="D164" i="1"/>
  <c r="D165" i="1"/>
  <c r="D166" i="1"/>
  <c r="D167" i="1"/>
  <c r="AB6" i="1"/>
  <c r="H111" i="1"/>
  <c r="AB9" i="1"/>
  <c r="AB7" i="1"/>
  <c r="M43" i="1"/>
  <c r="M44" i="1" s="1"/>
  <c r="N15" i="1"/>
  <c r="O25" i="1"/>
  <c r="M36" i="1" s="1"/>
  <c r="O36" i="1" s="1"/>
  <c r="P36" i="1" s="1"/>
  <c r="Q36" i="1" s="1"/>
  <c r="R36" i="1" s="1"/>
  <c r="O20" i="1"/>
  <c r="M35" i="1" s="1"/>
  <c r="O35" i="1" s="1"/>
  <c r="P35" i="1" s="1"/>
  <c r="Q35" i="1" s="1"/>
  <c r="R35" i="1" s="1"/>
  <c r="O11" i="1"/>
  <c r="O12" i="1"/>
  <c r="O13" i="1"/>
  <c r="O14" i="1"/>
  <c r="O10" i="1"/>
  <c r="O7" i="1"/>
  <c r="O6" i="1"/>
  <c r="C67" i="1"/>
  <c r="H110" i="1" s="1"/>
  <c r="C65" i="1"/>
  <c r="C63" i="1"/>
  <c r="C31" i="1"/>
  <c r="C29" i="1"/>
  <c r="C24" i="1"/>
  <c r="C18" i="1"/>
  <c r="M49" i="1" s="1"/>
  <c r="N49" i="1" s="1"/>
  <c r="N51" i="1" s="1"/>
  <c r="E100" i="1" s="1"/>
  <c r="M37" i="1"/>
  <c r="O37" i="1" s="1"/>
  <c r="P37" i="1" s="1"/>
  <c r="Q37" i="1" s="1"/>
  <c r="R37" i="1" s="1"/>
  <c r="C43" i="1"/>
  <c r="C72" i="1" s="1"/>
  <c r="AB5" i="1" s="1"/>
  <c r="F114" i="3" l="1"/>
  <c r="E114" i="3"/>
  <c r="D114" i="3"/>
  <c r="G114" i="3"/>
  <c r="H114" i="3"/>
  <c r="M34" i="3"/>
  <c r="O34" i="3" s="1"/>
  <c r="P34" i="3" s="1"/>
  <c r="Q34" i="3" s="1"/>
  <c r="R34" i="3" s="1"/>
  <c r="O29" i="3"/>
  <c r="N49" i="3"/>
  <c r="M51" i="3"/>
  <c r="D100" i="3" s="1"/>
  <c r="F101" i="3"/>
  <c r="F107" i="3" s="1"/>
  <c r="E101" i="3"/>
  <c r="E107" i="3" s="1"/>
  <c r="D101" i="3"/>
  <c r="D107" i="3" s="1"/>
  <c r="H101" i="3"/>
  <c r="H107" i="3" s="1"/>
  <c r="G101" i="3"/>
  <c r="G107" i="3" s="1"/>
  <c r="V8" i="3"/>
  <c r="E97" i="3" s="1"/>
  <c r="W5" i="3"/>
  <c r="C109" i="3"/>
  <c r="AB5" i="3"/>
  <c r="AD6" i="3" s="1"/>
  <c r="C73" i="3"/>
  <c r="C75" i="3" s="1"/>
  <c r="O33" i="3"/>
  <c r="U8" i="3"/>
  <c r="D97" i="3" s="1"/>
  <c r="AB8" i="2"/>
  <c r="F101" i="2"/>
  <c r="F107" i="2" s="1"/>
  <c r="E101" i="2"/>
  <c r="E107" i="2" s="1"/>
  <c r="H101" i="2"/>
  <c r="H107" i="2" s="1"/>
  <c r="D101" i="2"/>
  <c r="D107" i="2" s="1"/>
  <c r="G101" i="2"/>
  <c r="G107" i="2" s="1"/>
  <c r="O29" i="2"/>
  <c r="M34" i="2"/>
  <c r="O34" i="2" s="1"/>
  <c r="P34" i="2" s="1"/>
  <c r="Q34" i="2" s="1"/>
  <c r="R34" i="2" s="1"/>
  <c r="AB5" i="2"/>
  <c r="AD6" i="2" s="1"/>
  <c r="C109" i="2"/>
  <c r="C73" i="2"/>
  <c r="C75" i="2" s="1"/>
  <c r="M51" i="2"/>
  <c r="D100" i="2" s="1"/>
  <c r="N49" i="2"/>
  <c r="O33" i="2"/>
  <c r="V5" i="2"/>
  <c r="C135" i="1"/>
  <c r="C147" i="1"/>
  <c r="C142" i="1"/>
  <c r="C153" i="1"/>
  <c r="C140" i="1"/>
  <c r="C139" i="1"/>
  <c r="C151" i="1"/>
  <c r="E114" i="1"/>
  <c r="C146" i="1"/>
  <c r="C143" i="1"/>
  <c r="D114" i="1"/>
  <c r="C138" i="1"/>
  <c r="C150" i="1"/>
  <c r="C141" i="1"/>
  <c r="C152" i="1"/>
  <c r="C137" i="1"/>
  <c r="C149" i="1"/>
  <c r="C155" i="1"/>
  <c r="C154" i="1"/>
  <c r="C136" i="1"/>
  <c r="C144" i="1"/>
  <c r="U5" i="1"/>
  <c r="V5" i="1" s="1"/>
  <c r="W5" i="1" s="1"/>
  <c r="X5" i="1" s="1"/>
  <c r="Y5" i="1" s="1"/>
  <c r="Y8" i="1" s="1"/>
  <c r="H97" i="1" s="1"/>
  <c r="C109" i="1"/>
  <c r="H114" i="1"/>
  <c r="G114" i="1"/>
  <c r="O15" i="1"/>
  <c r="M34" i="1" s="1"/>
  <c r="O34" i="1" s="1"/>
  <c r="P34" i="1" s="1"/>
  <c r="Q34" i="1" s="1"/>
  <c r="R34" i="1" s="1"/>
  <c r="AB8" i="1"/>
  <c r="AE6" i="1" s="1"/>
  <c r="AD6" i="1"/>
  <c r="O49" i="1"/>
  <c r="P49" i="1" s="1"/>
  <c r="Q49" i="1" s="1"/>
  <c r="M51" i="1"/>
  <c r="D100" i="1" s="1"/>
  <c r="C66" i="1"/>
  <c r="O8" i="1"/>
  <c r="C73" i="1"/>
  <c r="C75" i="1" s="1"/>
  <c r="C113" i="3" l="1"/>
  <c r="W8" i="3"/>
  <c r="F97" i="3" s="1"/>
  <c r="X5" i="3"/>
  <c r="M38" i="3"/>
  <c r="D99" i="3" s="1"/>
  <c r="D98" i="3" s="1"/>
  <c r="O38" i="3"/>
  <c r="E99" i="3" s="1"/>
  <c r="P33" i="3"/>
  <c r="D103" i="3"/>
  <c r="D105" i="3" s="1"/>
  <c r="O49" i="3"/>
  <c r="N51" i="3"/>
  <c r="E100" i="3" s="1"/>
  <c r="AF6" i="3"/>
  <c r="AH6" i="3" s="1"/>
  <c r="AB8" i="3"/>
  <c r="C113" i="2"/>
  <c r="AE10" i="2"/>
  <c r="AE9" i="2"/>
  <c r="AE7" i="2"/>
  <c r="AE8" i="2"/>
  <c r="AE6" i="2"/>
  <c r="AG6" i="2" s="1"/>
  <c r="AI6" i="2" s="1"/>
  <c r="V8" i="2"/>
  <c r="E97" i="2" s="1"/>
  <c r="W5" i="2"/>
  <c r="O38" i="2"/>
  <c r="E99" i="2" s="1"/>
  <c r="P33" i="2"/>
  <c r="M38" i="2"/>
  <c r="D99" i="2" s="1"/>
  <c r="D98" i="2" s="1"/>
  <c r="D103" i="2" s="1"/>
  <c r="D105" i="2" s="1"/>
  <c r="O49" i="2"/>
  <c r="N51" i="2"/>
  <c r="E100" i="2" s="1"/>
  <c r="AF6" i="2"/>
  <c r="AH6" i="2" s="1"/>
  <c r="U8" i="1"/>
  <c r="D97" i="1" s="1"/>
  <c r="V8" i="1"/>
  <c r="E97" i="1" s="1"/>
  <c r="X8" i="1"/>
  <c r="G97" i="1" s="1"/>
  <c r="W8" i="1"/>
  <c r="F97" i="1" s="1"/>
  <c r="C179" i="1"/>
  <c r="C181" i="1" s="1"/>
  <c r="C125" i="1"/>
  <c r="C113" i="1"/>
  <c r="C115" i="1" s="1"/>
  <c r="C116" i="1" s="1"/>
  <c r="AF6" i="1"/>
  <c r="AH6" i="1" s="1"/>
  <c r="C126" i="1"/>
  <c r="AE10" i="1"/>
  <c r="O29" i="1"/>
  <c r="E101" i="1"/>
  <c r="E107" i="1" s="1"/>
  <c r="F101" i="1"/>
  <c r="F107" i="1" s="1"/>
  <c r="G101" i="1"/>
  <c r="G107" i="1" s="1"/>
  <c r="H101" i="1"/>
  <c r="H107" i="1" s="1"/>
  <c r="D101" i="1"/>
  <c r="D107" i="1" s="1"/>
  <c r="M33" i="1"/>
  <c r="O33" i="1" s="1"/>
  <c r="AE7" i="1"/>
  <c r="AE8" i="1"/>
  <c r="AE9" i="1"/>
  <c r="O51" i="1"/>
  <c r="F100" i="1" s="1"/>
  <c r="E98" i="3" l="1"/>
  <c r="E103" i="3" s="1"/>
  <c r="E105" i="3" s="1"/>
  <c r="E113" i="3" s="1"/>
  <c r="E115" i="3" s="1"/>
  <c r="D113" i="3"/>
  <c r="Q33" i="3"/>
  <c r="P38" i="3"/>
  <c r="F99" i="3" s="1"/>
  <c r="AE10" i="3"/>
  <c r="AE9" i="3"/>
  <c r="AE7" i="3"/>
  <c r="AE8" i="3"/>
  <c r="AE6" i="3"/>
  <c r="AG6" i="3" s="1"/>
  <c r="Y5" i="3"/>
  <c r="Y8" i="3" s="1"/>
  <c r="H97" i="3" s="1"/>
  <c r="X8" i="3"/>
  <c r="G97" i="3" s="1"/>
  <c r="C115" i="3"/>
  <c r="C116" i="3" s="1"/>
  <c r="P49" i="3"/>
  <c r="O51" i="3"/>
  <c r="F100" i="3" s="1"/>
  <c r="AD7" i="2"/>
  <c r="Q33" i="2"/>
  <c r="P38" i="2"/>
  <c r="F99" i="2" s="1"/>
  <c r="E98" i="2"/>
  <c r="E103" i="2" s="1"/>
  <c r="E105" i="2" s="1"/>
  <c r="P49" i="2"/>
  <c r="O51" i="2"/>
  <c r="F100" i="2" s="1"/>
  <c r="D113" i="2"/>
  <c r="W8" i="2"/>
  <c r="F97" i="2" s="1"/>
  <c r="X5" i="2"/>
  <c r="AG6" i="1"/>
  <c r="C127" i="1"/>
  <c r="M38" i="1"/>
  <c r="D99" i="1" s="1"/>
  <c r="D98" i="1" s="1"/>
  <c r="D103" i="1" s="1"/>
  <c r="D105" i="1" s="1"/>
  <c r="D179" i="1" s="1"/>
  <c r="D181" i="1" s="1"/>
  <c r="P33" i="1"/>
  <c r="P38" i="1" s="1"/>
  <c r="F99" i="1" s="1"/>
  <c r="F98" i="1" s="1"/>
  <c r="F103" i="1" s="1"/>
  <c r="F105" i="1" s="1"/>
  <c r="F179" i="1" s="1"/>
  <c r="F181" i="1" s="1"/>
  <c r="O38" i="1"/>
  <c r="E99" i="1" s="1"/>
  <c r="E98" i="1" s="1"/>
  <c r="E103" i="1" s="1"/>
  <c r="E105" i="1" s="1"/>
  <c r="E179" i="1" s="1"/>
  <c r="E181" i="1" s="1"/>
  <c r="AD7" i="1"/>
  <c r="AI6" i="1"/>
  <c r="D126" i="1" s="1"/>
  <c r="Q51" i="1"/>
  <c r="H100" i="1" s="1"/>
  <c r="P51" i="1"/>
  <c r="G100" i="1" s="1"/>
  <c r="F98" i="3" l="1"/>
  <c r="F103" i="3" s="1"/>
  <c r="F105" i="3" s="1"/>
  <c r="F113" i="3" s="1"/>
  <c r="D115" i="3"/>
  <c r="D116" i="3" s="1"/>
  <c r="E116" i="3" s="1"/>
  <c r="R33" i="3"/>
  <c r="R38" i="3" s="1"/>
  <c r="H99" i="3" s="1"/>
  <c r="Q38" i="3"/>
  <c r="G99" i="3" s="1"/>
  <c r="AI6" i="3"/>
  <c r="AD7" i="3"/>
  <c r="Q49" i="3"/>
  <c r="Q51" i="3" s="1"/>
  <c r="H100" i="3" s="1"/>
  <c r="P51" i="3"/>
  <c r="G100" i="3" s="1"/>
  <c r="E113" i="2"/>
  <c r="P51" i="2"/>
  <c r="G100" i="2" s="1"/>
  <c r="Q49" i="2"/>
  <c r="Q51" i="2" s="1"/>
  <c r="H100" i="2" s="1"/>
  <c r="AF7" i="2"/>
  <c r="Y5" i="2"/>
  <c r="Y8" i="2" s="1"/>
  <c r="H97" i="2" s="1"/>
  <c r="X8" i="2"/>
  <c r="G97" i="2" s="1"/>
  <c r="F98" i="2"/>
  <c r="F103" i="2"/>
  <c r="F105" i="2" s="1"/>
  <c r="Q38" i="2"/>
  <c r="G99" i="2" s="1"/>
  <c r="G98" i="2" s="1"/>
  <c r="R33" i="2"/>
  <c r="R38" i="2" s="1"/>
  <c r="H99" i="2" s="1"/>
  <c r="E125" i="1"/>
  <c r="E113" i="1"/>
  <c r="E115" i="1" s="1"/>
  <c r="F125" i="1"/>
  <c r="F113" i="1"/>
  <c r="F115" i="1" s="1"/>
  <c r="D125" i="1"/>
  <c r="D127" i="1" s="1"/>
  <c r="D113" i="1"/>
  <c r="Q33" i="1"/>
  <c r="Q38" i="1" s="1"/>
  <c r="G99" i="1" s="1"/>
  <c r="G98" i="1" s="1"/>
  <c r="G103" i="1" s="1"/>
  <c r="G105" i="1" s="1"/>
  <c r="G179" i="1" s="1"/>
  <c r="G181" i="1" s="1"/>
  <c r="AF7" i="1"/>
  <c r="AH7" i="1" s="1"/>
  <c r="F115" i="3" l="1"/>
  <c r="F116" i="3" s="1"/>
  <c r="AF7" i="3"/>
  <c r="G98" i="3"/>
  <c r="G103" i="3" s="1"/>
  <c r="G105" i="3" s="1"/>
  <c r="H98" i="3"/>
  <c r="H103" i="3" s="1"/>
  <c r="H105" i="3" s="1"/>
  <c r="AH7" i="2"/>
  <c r="AG7" i="2"/>
  <c r="F113" i="2"/>
  <c r="H98" i="2"/>
  <c r="H103" i="2" s="1"/>
  <c r="H105" i="2" s="1"/>
  <c r="G103" i="2"/>
  <c r="G105" i="2" s="1"/>
  <c r="D115" i="1"/>
  <c r="D116" i="1" s="1"/>
  <c r="E116" i="1" s="1"/>
  <c r="G125" i="1"/>
  <c r="G113" i="1"/>
  <c r="G115" i="1" s="1"/>
  <c r="R33" i="1"/>
  <c r="R38" i="1" s="1"/>
  <c r="H99" i="1" s="1"/>
  <c r="H98" i="1" s="1"/>
  <c r="H103" i="1" s="1"/>
  <c r="H105" i="1" s="1"/>
  <c r="H179" i="1" s="1"/>
  <c r="H181" i="1" s="1"/>
  <c r="C183" i="1" s="1"/>
  <c r="AG7" i="1"/>
  <c r="AI7" i="1" s="1"/>
  <c r="E126" i="1" s="1"/>
  <c r="E127" i="1" s="1"/>
  <c r="H113" i="3" l="1"/>
  <c r="H115" i="3" s="1"/>
  <c r="AH7" i="3"/>
  <c r="AG7" i="3"/>
  <c r="G113" i="3"/>
  <c r="H113" i="2"/>
  <c r="AI7" i="2"/>
  <c r="AD8" i="2"/>
  <c r="G113" i="2"/>
  <c r="H113" i="1"/>
  <c r="C117" i="1" s="1"/>
  <c r="H125" i="1"/>
  <c r="F116" i="1"/>
  <c r="AD8" i="1"/>
  <c r="G115" i="3" l="1"/>
  <c r="G116" i="3" s="1"/>
  <c r="H116" i="3" s="1"/>
  <c r="C118" i="3"/>
  <c r="C117" i="3"/>
  <c r="K103" i="3" s="1"/>
  <c r="AI7" i="3"/>
  <c r="AD8" i="3"/>
  <c r="C114" i="2"/>
  <c r="AF8" i="2"/>
  <c r="D144" i="1"/>
  <c r="D145" i="1"/>
  <c r="C118" i="1"/>
  <c r="D135" i="1"/>
  <c r="D142" i="1"/>
  <c r="D146" i="1"/>
  <c r="D153" i="1"/>
  <c r="D155" i="1"/>
  <c r="D137" i="1"/>
  <c r="D136" i="1"/>
  <c r="D138" i="1"/>
  <c r="D139" i="1"/>
  <c r="D143" i="1"/>
  <c r="D151" i="1"/>
  <c r="D154" i="1"/>
  <c r="D148" i="1"/>
  <c r="D152" i="1"/>
  <c r="D150" i="1"/>
  <c r="D141" i="1"/>
  <c r="D147" i="1"/>
  <c r="D149" i="1"/>
  <c r="D140" i="1"/>
  <c r="H115" i="1"/>
  <c r="G116" i="1"/>
  <c r="AF8" i="1"/>
  <c r="AH8" i="1" s="1"/>
  <c r="C119" i="3" l="1"/>
  <c r="AF8" i="3"/>
  <c r="AH8" i="2"/>
  <c r="AG8" i="2"/>
  <c r="C119" i="1"/>
  <c r="D162" i="1"/>
  <c r="H116" i="1"/>
  <c r="AG8" i="1"/>
  <c r="AI8" i="1" s="1"/>
  <c r="F126" i="1" s="1"/>
  <c r="F127" i="1" s="1"/>
  <c r="AH8" i="3" l="1"/>
  <c r="AG8" i="3"/>
  <c r="AI8" i="2"/>
  <c r="AD9" i="2"/>
  <c r="AD9" i="1"/>
  <c r="AI8" i="3" l="1"/>
  <c r="AD9" i="3"/>
  <c r="AF9" i="2"/>
  <c r="AF9" i="1"/>
  <c r="AH9" i="1" s="1"/>
  <c r="AF9" i="3" l="1"/>
  <c r="AH9" i="2"/>
  <c r="AG9" i="2"/>
  <c r="AG9" i="1"/>
  <c r="AI9" i="1" s="1"/>
  <c r="G126" i="1" s="1"/>
  <c r="G127" i="1" s="1"/>
  <c r="AH9" i="3" l="1"/>
  <c r="AG9" i="3"/>
  <c r="AI9" i="2"/>
  <c r="AD10" i="2"/>
  <c r="AF10" i="2" s="1"/>
  <c r="AD10" i="1"/>
  <c r="AF10" i="1" s="1"/>
  <c r="AH10" i="1" s="1"/>
  <c r="AI9" i="3" l="1"/>
  <c r="AD10" i="3"/>
  <c r="AF10" i="3" s="1"/>
  <c r="AH10" i="2"/>
  <c r="AG10" i="2"/>
  <c r="AI10" i="2" s="1"/>
  <c r="AG10" i="1"/>
  <c r="AI10" i="1" s="1"/>
  <c r="H126" i="1" s="1"/>
  <c r="H127" i="1" s="1"/>
  <c r="C128" i="1" s="1"/>
  <c r="AH10" i="3" l="1"/>
  <c r="AG10" i="3"/>
  <c r="AI10" i="3" s="1"/>
  <c r="C129" i="1"/>
</calcChain>
</file>

<file path=xl/sharedStrings.xml><?xml version="1.0" encoding="utf-8"?>
<sst xmlns="http://schemas.openxmlformats.org/spreadsheetml/2006/main" count="936" uniqueCount="241">
  <si>
    <t>1. DATOS DEL PROYECTO</t>
  </si>
  <si>
    <t>Concepto</t>
  </si>
  <si>
    <t>Valor</t>
  </si>
  <si>
    <t>Personal año 1</t>
  </si>
  <si>
    <t>AWS año 1</t>
  </si>
  <si>
    <t>Licencias año 1</t>
  </si>
  <si>
    <t>Marketing recurrente</t>
  </si>
  <si>
    <t>Crecimiento AWS</t>
  </si>
  <si>
    <t>Crecimiento resto costes</t>
  </si>
  <si>
    <t>Desarrollo software</t>
  </si>
  <si>
    <t>Diseño UX/UI</t>
  </si>
  <si>
    <t>Marketing lanzamiento</t>
  </si>
  <si>
    <t>Inversión inicial total</t>
  </si>
  <si>
    <t>Vida útil software</t>
  </si>
  <si>
    <t>Vida útil equipos</t>
  </si>
  <si>
    <t>Depreciación anual</t>
  </si>
  <si>
    <t>Valor residual equipos</t>
  </si>
  <si>
    <t>Impuesto sociedades</t>
  </si>
  <si>
    <t>Capital propio</t>
  </si>
  <si>
    <t>Deuda</t>
  </si>
  <si>
    <t>Plazo préstamo</t>
  </si>
  <si>
    <t>Precio mensual por empresa</t>
  </si>
  <si>
    <t>1.1. Datos generales del proyecto</t>
  </si>
  <si>
    <t>Variable</t>
  </si>
  <si>
    <t>Unidad</t>
  </si>
  <si>
    <t>Horizonte temporal</t>
  </si>
  <si>
    <t>años</t>
  </si>
  <si>
    <t>Año base</t>
  </si>
  <si>
    <t>Forma jurídica</t>
  </si>
  <si>
    <t>S.L.</t>
  </si>
  <si>
    <t>Mercado inicial</t>
  </si>
  <si>
    <t>España</t>
  </si>
  <si>
    <t>Sede administrativa</t>
  </si>
  <si>
    <t>Madrid</t>
  </si>
  <si>
    <t>Proveedor cloud</t>
  </si>
  <si>
    <t>AWS</t>
  </si>
  <si>
    <t>Modelo de negocio</t>
  </si>
  <si>
    <t>SaaS por suscripción</t>
  </si>
  <si>
    <t>1.2. Hipótesis comerciales</t>
  </si>
  <si>
    <t>Fórmula / explicación</t>
  </si>
  <si>
    <t>Mercado potencial inicial</t>
  </si>
  <si>
    <t>Empresas y organizaciones potencialmente interesadas</t>
  </si>
  <si>
    <t>Cuota inicial esperada</t>
  </si>
  <si>
    <t>Penetración conservadora de startup</t>
  </si>
  <si>
    <t>Clientes iniciales año 1</t>
  </si>
  <si>
    <t>clientes</t>
  </si>
  <si>
    <t>10.000 × 0,2 % = 20</t>
  </si>
  <si>
    <t>Crecimiento anual clientes</t>
  </si>
  <si>
    <t>anual</t>
  </si>
  <si>
    <t>Crecimiento compuesto</t>
  </si>
  <si>
    <t>Usuarios medios por empresa</t>
  </si>
  <si>
    <t>usuarios</t>
  </si>
  <si>
    <t>Plan empresarial estándar</t>
  </si>
  <si>
    <t>Almacenamiento por empresa</t>
  </si>
  <si>
    <t>TB</t>
  </si>
  <si>
    <t>Capacidad año 1</t>
  </si>
  <si>
    <t>20 clientes × 1 TB</t>
  </si>
  <si>
    <t>Margen seguridad capacidad</t>
  </si>
  <si>
    <t>Margen técnico adicional</t>
  </si>
  <si>
    <t>Capacidad inicial instalada</t>
  </si>
  <si>
    <t>20 TB × 1,5</t>
  </si>
  <si>
    <t>1.3. Hipótesis de precios e ingresos</t>
  </si>
  <si>
    <t>€/mes</t>
  </si>
  <si>
    <t>Suscripción mensual B2B</t>
  </si>
  <si>
    <t>Precio anual por empresa</t>
  </si>
  <si>
    <t>€/año</t>
  </si>
  <si>
    <t>150 × 12</t>
  </si>
  <si>
    <t>Usuarios incluidos por empresa</t>
  </si>
  <si>
    <t>Plan estándar</t>
  </si>
  <si>
    <t>Precio mensual por usuario equivalente</t>
  </si>
  <si>
    <t>€/usuario/mes</t>
  </si>
  <si>
    <t>150 / 5</t>
  </si>
  <si>
    <t>Fórmula ingresos anuales</t>
  </si>
  <si>
    <t>Clientes × Precio mensual × 12</t>
  </si>
  <si>
    <t>€</t>
  </si>
  <si>
    <t>Ingreso SaaS anual</t>
  </si>
  <si>
    <t>1.4. Hipótesis de inversión inicial</t>
  </si>
  <si>
    <t>Uso</t>
  </si>
  <si>
    <t>CAPEX inicial y depreciación</t>
  </si>
  <si>
    <t>Auditoría de seguridad</t>
  </si>
  <si>
    <t>CAPEX inicial</t>
  </si>
  <si>
    <t>Equipamiento informático</t>
  </si>
  <si>
    <t>Constitución y gastos legales</t>
  </si>
  <si>
    <t>Capital de trabajo inicial</t>
  </si>
  <si>
    <t>Salida año 0 y recuperación año 5</t>
  </si>
  <si>
    <t>Total inversión inicial</t>
  </si>
  <si>
    <t>1.5. Hipótesis de costes operativos</t>
  </si>
  <si>
    <t>OPEX fijo</t>
  </si>
  <si>
    <t>OPEX fijo tecnológico</t>
  </si>
  <si>
    <t>Administración y asesoría año 1</t>
  </si>
  <si>
    <t>Marketing recurrente año 1</t>
  </si>
  <si>
    <t>Coste variable por cliente mensual</t>
  </si>
  <si>
    <t>€/cliente/mes</t>
  </si>
  <si>
    <t>OPEX variable</t>
  </si>
  <si>
    <t>Coste variable por cliente anual</t>
  </si>
  <si>
    <t>€/cliente/año</t>
  </si>
  <si>
    <t>Crecimiento salarial</t>
  </si>
  <si>
    <t>Proyección personal</t>
  </si>
  <si>
    <t>Proyección AWS</t>
  </si>
  <si>
    <t>Proyección licencias, administración y marketing</t>
  </si>
  <si>
    <t>1.6. Hipótesis fiscales, depreciación y valor residual</t>
  </si>
  <si>
    <t>Impuesto sobre Sociedades</t>
  </si>
  <si>
    <t>Cálculo de impuestos</t>
  </si>
  <si>
    <t>Depreciación</t>
  </si>
  <si>
    <t>Depreciación anual software</t>
  </si>
  <si>
    <t>80.000 / 5</t>
  </si>
  <si>
    <t>Depreciación anual equipos</t>
  </si>
  <si>
    <t>7.500 / 4</t>
  </si>
  <si>
    <t>Depreciación anual total</t>
  </si>
  <si>
    <t>16.000 + 1.875</t>
  </si>
  <si>
    <t>EBIT</t>
  </si>
  <si>
    <t>Recuperación capital de trabajo</t>
  </si>
  <si>
    <t>Entrada año 5</t>
  </si>
  <si>
    <t>7.500 × 20 %</t>
  </si>
  <si>
    <t>1.7. Hipótesis financieras</t>
  </si>
  <si>
    <t>40 % × 153.500</t>
  </si>
  <si>
    <t>Capital propio %</t>
  </si>
  <si>
    <t>Préstamo bancario</t>
  </si>
  <si>
    <t>60 % × 153.500</t>
  </si>
  <si>
    <t>Deuda %</t>
  </si>
  <si>
    <t>Tipo de interés préstamo</t>
  </si>
  <si>
    <t>Sistema amortización</t>
  </si>
  <si>
    <t>Francés</t>
  </si>
  <si>
    <t>5 % × (1 − 25 %)</t>
  </si>
  <si>
    <t>0,40 × 12 % + 0,60 × 5 % × (1 − 25 %)</t>
  </si>
  <si>
    <t>2. CAPEX</t>
  </si>
  <si>
    <t>Total</t>
  </si>
  <si>
    <t>Importe (€)</t>
  </si>
  <si>
    <t>Vida útil</t>
  </si>
  <si>
    <t>5 años</t>
  </si>
  <si>
    <t>4 años</t>
  </si>
  <si>
    <t>Marketing de lanzamiento</t>
  </si>
  <si>
    <t>TOTAL CAPEX / INVERSIÓN INICIAL</t>
  </si>
  <si>
    <t>3. OPEX</t>
  </si>
  <si>
    <t>Nº empleados</t>
  </si>
  <si>
    <t>Coste anual unitario</t>
  </si>
  <si>
    <t>Desarrollador Full-Stack</t>
  </si>
  <si>
    <t>Director/Gerente</t>
  </si>
  <si>
    <t>Total personal</t>
  </si>
  <si>
    <t>Servicio AWS</t>
  </si>
  <si>
    <t>Coste mensual</t>
  </si>
  <si>
    <t>Coste anual</t>
  </si>
  <si>
    <t>Amazon S3</t>
  </si>
  <si>
    <t>EC2</t>
  </si>
  <si>
    <t>RDS PostgreSQL</t>
  </si>
  <si>
    <t>CloudFront y transferencia</t>
  </si>
  <si>
    <t>Monitorización y otros</t>
  </si>
  <si>
    <t>Total AWS</t>
  </si>
  <si>
    <t>Dominio y hosting corporativo</t>
  </si>
  <si>
    <t>Herramientas de desarrollo</t>
  </si>
  <si>
    <t>Licencias SaaS</t>
  </si>
  <si>
    <t>Total licencias</t>
  </si>
  <si>
    <t>Licencias</t>
  </si>
  <si>
    <t>Asesoría contable y fiscal</t>
  </si>
  <si>
    <t>Servicios jurídicos</t>
  </si>
  <si>
    <t>Seguros y otros gastos</t>
  </si>
  <si>
    <t>Total administración</t>
  </si>
  <si>
    <t>Administración y asesoría</t>
  </si>
  <si>
    <t>Marketing anual</t>
  </si>
  <si>
    <t>Total costes fijos año 1</t>
  </si>
  <si>
    <t>3.1.1. OPEX fijo año 1</t>
  </si>
  <si>
    <t>Año 1</t>
  </si>
  <si>
    <t>Crecimiento anual</t>
  </si>
  <si>
    <t>Año 2</t>
  </si>
  <si>
    <t>Año 3</t>
  </si>
  <si>
    <t>Año 4</t>
  </si>
  <si>
    <t>Año 5</t>
  </si>
  <si>
    <t>Personal</t>
  </si>
  <si>
    <t>Administración</t>
  </si>
  <si>
    <t>Total costes fijos</t>
  </si>
  <si>
    <t>3.1.2. OPEX fijo proyectado</t>
  </si>
  <si>
    <t>3.2.1. OPEX variables año 1</t>
  </si>
  <si>
    <t>Coste variable mensual por cliente</t>
  </si>
  <si>
    <t>Coste variable anual por cliente</t>
  </si>
  <si>
    <t>Coste variable anual total</t>
  </si>
  <si>
    <t>Clientes × 120</t>
  </si>
  <si>
    <t>Año</t>
  </si>
  <si>
    <t>Clientes</t>
  </si>
  <si>
    <t>Coste variable por cliente/año</t>
  </si>
  <si>
    <t>Coste variable total</t>
  </si>
  <si>
    <t>3.5. OPEX variables proyectados</t>
  </si>
  <si>
    <t>4. INGRESOS</t>
  </si>
  <si>
    <t>Precio mensual</t>
  </si>
  <si>
    <t>Meses</t>
  </si>
  <si>
    <t>Ingresos anuales</t>
  </si>
  <si>
    <t>5. DEUDA</t>
  </si>
  <si>
    <t>DATOS DEUDA</t>
  </si>
  <si>
    <t>CUADRO DE DEUDA</t>
  </si>
  <si>
    <t>AÑO</t>
  </si>
  <si>
    <t>SALDO</t>
  </si>
  <si>
    <t>CUOTA</t>
  </si>
  <si>
    <t>INTERES</t>
  </si>
  <si>
    <t>AMORTIZACION</t>
  </si>
  <si>
    <t>INT NETO DE IMP</t>
  </si>
  <si>
    <t>DEUDA = 60% INVERSION INICIAL</t>
  </si>
  <si>
    <t>Kd REAL</t>
  </si>
  <si>
    <t>PERIODO</t>
  </si>
  <si>
    <t>IMPUESTO SOCIEDADES</t>
  </si>
  <si>
    <t>FF PURO</t>
  </si>
  <si>
    <t xml:space="preserve">PERIODO DE RECUPERO </t>
  </si>
  <si>
    <t>VAN</t>
  </si>
  <si>
    <t>TIR</t>
  </si>
  <si>
    <t>VAE</t>
  </si>
  <si>
    <t>Ingresos afectos a impuestos</t>
  </si>
  <si>
    <t>Egresos afectos a impuestos</t>
  </si>
  <si>
    <t>Costes fijos</t>
  </si>
  <si>
    <t>Costes variables</t>
  </si>
  <si>
    <t>Gastos no desembolsables</t>
  </si>
  <si>
    <t>Utilidad antes de impuestos / EBIT</t>
  </si>
  <si>
    <t>Utilidad después de impuestos</t>
  </si>
  <si>
    <t>Ajuste por gastos no desembolsables</t>
  </si>
  <si>
    <t>Inversión inicial</t>
  </si>
  <si>
    <t>-</t>
  </si>
  <si>
    <t>Factor de ajuste</t>
  </si>
  <si>
    <t>FF descontado</t>
  </si>
  <si>
    <t>FF del INVERSIONISTA</t>
  </si>
  <si>
    <t>CUOTA NETA DE IMP</t>
  </si>
  <si>
    <t>Análisis de sensibilidad bidimensional</t>
  </si>
  <si>
    <t>TD</t>
  </si>
  <si>
    <t>Análisis de sensibilidad unidimensional</t>
  </si>
  <si>
    <t>FF NOMINAL</t>
  </si>
  <si>
    <t>Inflacion</t>
  </si>
  <si>
    <t>* Inflación del 3% en España</t>
  </si>
  <si>
    <t>Ke real</t>
  </si>
  <si>
    <t>Inflación</t>
  </si>
  <si>
    <t>Coste deuda Kd nominal</t>
  </si>
  <si>
    <t>Kd nominal después de impuestos</t>
  </si>
  <si>
    <t>Kd real</t>
  </si>
  <si>
    <t>Kd real después impuestos</t>
  </si>
  <si>
    <t>WACC real</t>
  </si>
  <si>
    <t>Coste capital propio: Ke nominal</t>
  </si>
  <si>
    <t xml:space="preserve">SE DEBEN VENDER COMO MINIMO A 52 CLIENTES	</t>
  </si>
  <si>
    <t>PRECIO MENSUAL</t>
  </si>
  <si>
    <t>MIN</t>
  </si>
  <si>
    <t>MAX</t>
  </si>
  <si>
    <t>ITREACIONES</t>
  </si>
  <si>
    <t>N</t>
  </si>
  <si>
    <t>Clase</t>
  </si>
  <si>
    <t>y mayor...</t>
  </si>
  <si>
    <t>Frecuencia</t>
  </si>
  <si>
    <t>%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</si>
</sst>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72" formatCode="0.000"/>
    <numFmt numFmtId="174" formatCode="_-* #,##0.00\ _€_-;\-* #,##0.00\ _€_-;_-* &quot;-&quot;??\ _€_-;_-@_-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0"/>
      <color theme="1"/>
      <name val="Arial Unicode MS"/>
      <family val="2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 (Cuerpo)"/>
    </font>
    <font>
      <sz val="12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30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4" fillId="0" borderId="0" xfId="0" applyFont="1"/>
    <xf numFmtId="0" fontId="2" fillId="0" borderId="0" xfId="0" applyFont="1"/>
    <xf numFmtId="0" fontId="5" fillId="0" borderId="0" xfId="0" applyFont="1"/>
    <xf numFmtId="8" fontId="5" fillId="0" borderId="0" xfId="0" applyNumberFormat="1" applyFont="1"/>
    <xf numFmtId="0" fontId="3" fillId="0" borderId="1" xfId="0" applyFont="1" applyBorder="1"/>
    <xf numFmtId="0" fontId="0" fillId="0" borderId="1" xfId="0" applyBorder="1"/>
    <xf numFmtId="9" fontId="0" fillId="0" borderId="1" xfId="0" applyNumberFormat="1" applyBorder="1"/>
    <xf numFmtId="0" fontId="3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2" borderId="1" xfId="0" applyFill="1" applyBorder="1"/>
    <xf numFmtId="0" fontId="6" fillId="0" borderId="0" xfId="0" applyFont="1"/>
    <xf numFmtId="3" fontId="0" fillId="0" borderId="0" xfId="0" applyNumberFormat="1"/>
    <xf numFmtId="3" fontId="0" fillId="0" borderId="1" xfId="0" applyNumberFormat="1" applyBorder="1"/>
    <xf numFmtId="10" fontId="0" fillId="0" borderId="1" xfId="0" applyNumberFormat="1" applyBorder="1"/>
    <xf numFmtId="3" fontId="2" fillId="2" borderId="1" xfId="0" applyNumberFormat="1" applyFont="1" applyFill="1" applyBorder="1"/>
    <xf numFmtId="3" fontId="3" fillId="2" borderId="1" xfId="0" applyNumberFormat="1" applyFont="1" applyFill="1" applyBorder="1"/>
    <xf numFmtId="0" fontId="10" fillId="2" borderId="1" xfId="0" applyFont="1" applyFill="1" applyBorder="1"/>
    <xf numFmtId="0" fontId="7" fillId="2" borderId="1" xfId="0" applyFont="1" applyFill="1" applyBorder="1"/>
    <xf numFmtId="0" fontId="10" fillId="0" borderId="0" xfId="0" applyFont="1"/>
    <xf numFmtId="6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right"/>
    </xf>
    <xf numFmtId="1" fontId="3" fillId="2" borderId="1" xfId="0" applyNumberFormat="1" applyFont="1" applyFill="1" applyBorder="1"/>
    <xf numFmtId="0" fontId="0" fillId="0" borderId="2" xfId="0" applyBorder="1"/>
    <xf numFmtId="3" fontId="0" fillId="0" borderId="2" xfId="0" applyNumberFormat="1" applyBorder="1"/>
    <xf numFmtId="9" fontId="0" fillId="0" borderId="5" xfId="0" applyNumberFormat="1" applyBorder="1"/>
    <xf numFmtId="0" fontId="0" fillId="0" borderId="4" xfId="0" applyBorder="1"/>
    <xf numFmtId="2" fontId="0" fillId="0" borderId="1" xfId="0" applyNumberFormat="1" applyBorder="1"/>
    <xf numFmtId="0" fontId="8" fillId="0" borderId="0" xfId="0" applyFont="1"/>
    <xf numFmtId="8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0" xfId="0" applyFont="1" applyFill="1" applyBorder="1"/>
    <xf numFmtId="2" fontId="0" fillId="0" borderId="0" xfId="0" applyNumberFormat="1" applyFill="1" applyBorder="1"/>
    <xf numFmtId="3" fontId="6" fillId="2" borderId="1" xfId="0" applyNumberFormat="1" applyFont="1" applyFill="1" applyBorder="1"/>
    <xf numFmtId="2" fontId="3" fillId="0" borderId="1" xfId="0" applyNumberFormat="1" applyFont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5" xfId="0" applyFill="1" applyBorder="1"/>
    <xf numFmtId="9" fontId="0" fillId="0" borderId="0" xfId="0" applyNumberFormat="1" applyBorder="1"/>
    <xf numFmtId="0" fontId="0" fillId="0" borderId="0" xfId="0" applyBorder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172" fontId="0" fillId="0" borderId="1" xfId="0" applyNumberFormat="1" applyBorder="1"/>
    <xf numFmtId="4" fontId="0" fillId="0" borderId="1" xfId="0" applyNumberFormat="1" applyBorder="1"/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9" fillId="2" borderId="1" xfId="0" applyFont="1" applyFill="1" applyBorder="1"/>
    <xf numFmtId="3" fontId="9" fillId="0" borderId="1" xfId="0" applyNumberFormat="1" applyFont="1" applyFill="1" applyBorder="1"/>
    <xf numFmtId="4" fontId="3" fillId="0" borderId="1" xfId="0" applyNumberFormat="1" applyFont="1" applyBorder="1"/>
    <xf numFmtId="8" fontId="3" fillId="0" borderId="1" xfId="0" applyNumberFormat="1" applyFont="1" applyBorder="1"/>
    <xf numFmtId="1" fontId="3" fillId="0" borderId="1" xfId="0" applyNumberFormat="1" applyFont="1" applyFill="1" applyBorder="1"/>
    <xf numFmtId="1" fontId="9" fillId="0" borderId="1" xfId="0" applyNumberFormat="1" applyFont="1" applyFill="1" applyBorder="1"/>
    <xf numFmtId="0" fontId="6" fillId="2" borderId="1" xfId="0" applyFont="1" applyFill="1" applyBorder="1" applyAlignment="1">
      <alignment horizontal="center" vertical="center"/>
    </xf>
    <xf numFmtId="0" fontId="0" fillId="2" borderId="11" xfId="0" applyFill="1" applyBorder="1"/>
    <xf numFmtId="10" fontId="0" fillId="0" borderId="1" xfId="2" applyNumberFormat="1" applyFont="1" applyBorder="1"/>
    <xf numFmtId="10" fontId="3" fillId="0" borderId="1" xfId="2" applyNumberFormat="1" applyFont="1" applyBorder="1"/>
    <xf numFmtId="174" fontId="0" fillId="0" borderId="1" xfId="0" applyNumberFormat="1" applyBorder="1"/>
    <xf numFmtId="9" fontId="0" fillId="0" borderId="1" xfId="0" applyNumberFormat="1" applyFill="1" applyBorder="1"/>
    <xf numFmtId="43" fontId="0" fillId="0" borderId="1" xfId="1" applyFont="1" applyFill="1" applyBorder="1"/>
    <xf numFmtId="0" fontId="6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0" fillId="0" borderId="0" xfId="0" applyFill="1" applyBorder="1" applyAlignment="1"/>
    <xf numFmtId="10" fontId="0" fillId="0" borderId="0" xfId="0" applyNumberFormat="1" applyFill="1" applyBorder="1" applyAlignment="1"/>
    <xf numFmtId="0" fontId="0" fillId="0" borderId="12" xfId="0" applyFill="1" applyBorder="1" applyAlignment="1"/>
    <xf numFmtId="10" fontId="0" fillId="0" borderId="12" xfId="0" applyNumberFormat="1" applyFill="1" applyBorder="1" applyAlignment="1"/>
    <xf numFmtId="0" fontId="11" fillId="0" borderId="13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03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Análisis de sensibilidad unidimensional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QuantumVault!$C$135:$C$155</c:f>
              <c:numCache>
                <c:formatCode>0.00%</c:formatCode>
                <c:ptCount val="21"/>
                <c:pt idx="0">
                  <c:v>4.3689320388349606E-2</c:v>
                </c:pt>
                <c:pt idx="1">
                  <c:v>4.8058252427184568E-2</c:v>
                </c:pt>
                <c:pt idx="2">
                  <c:v>5.2427184466019523E-2</c:v>
                </c:pt>
                <c:pt idx="3">
                  <c:v>5.6796116504854492E-2</c:v>
                </c:pt>
                <c:pt idx="4">
                  <c:v>6.1165048543689447E-2</c:v>
                </c:pt>
                <c:pt idx="5">
                  <c:v>6.5533980582524409E-2</c:v>
                </c:pt>
                <c:pt idx="6">
                  <c:v>6.9902912621359378E-2</c:v>
                </c:pt>
                <c:pt idx="7">
                  <c:v>7.4271844660194333E-2</c:v>
                </c:pt>
                <c:pt idx="8">
                  <c:v>7.8640776699029288E-2</c:v>
                </c:pt>
                <c:pt idx="9">
                  <c:v>8.3009708737864243E-2</c:v>
                </c:pt>
                <c:pt idx="10">
                  <c:v>8.7378640776699212E-2</c:v>
                </c:pt>
                <c:pt idx="11">
                  <c:v>9.1747572815534181E-2</c:v>
                </c:pt>
                <c:pt idx="12">
                  <c:v>9.6116504854369136E-2</c:v>
                </c:pt>
                <c:pt idx="13">
                  <c:v>0.10048543689320409</c:v>
                </c:pt>
                <c:pt idx="14">
                  <c:v>0.10485436893203905</c:v>
                </c:pt>
                <c:pt idx="15">
                  <c:v>0.10922330097087402</c:v>
                </c:pt>
                <c:pt idx="16">
                  <c:v>0.11359223300970898</c:v>
                </c:pt>
                <c:pt idx="17">
                  <c:v>0.11796116504854394</c:v>
                </c:pt>
                <c:pt idx="18">
                  <c:v>0.12233009708737889</c:v>
                </c:pt>
                <c:pt idx="19">
                  <c:v>0.12669902912621386</c:v>
                </c:pt>
                <c:pt idx="20">
                  <c:v>0.13106796116504882</c:v>
                </c:pt>
              </c:numCache>
            </c:numRef>
          </c:xVal>
          <c:yVal>
            <c:numRef>
              <c:f>QuantumVault!$D$135:$D$155</c:f>
              <c:numCache>
                <c:formatCode>"€"#,##0.00_);[Red]\("€"#,##0.00\)</c:formatCode>
                <c:ptCount val="21"/>
                <c:pt idx="0">
                  <c:v>-492209.66408644168</c:v>
                </c:pt>
                <c:pt idx="1">
                  <c:v>-488936.0732028585</c:v>
                </c:pt>
                <c:pt idx="2">
                  <c:v>-485715.12089735427</c:v>
                </c:pt>
                <c:pt idx="3">
                  <c:v>-482545.67895182117</c:v>
                </c:pt>
                <c:pt idx="4">
                  <c:v>-479426.64881140686</c:v>
                </c:pt>
                <c:pt idx="5">
                  <c:v>-476356.9606688206</c:v>
                </c:pt>
                <c:pt idx="6">
                  <c:v>-473335.57258092996</c:v>
                </c:pt>
                <c:pt idx="7">
                  <c:v>-470361.4696163733</c:v>
                </c:pt>
                <c:pt idx="8">
                  <c:v>-467433.66303296702</c:v>
                </c:pt>
                <c:pt idx="9">
                  <c:v>-464551.18948373856</c:v>
                </c:pt>
                <c:pt idx="10">
                  <c:v>-461713.11025046982</c:v>
                </c:pt>
                <c:pt idx="11">
                  <c:v>-458918.51050368202</c:v>
                </c:pt>
                <c:pt idx="12">
                  <c:v>-456166.49858803843</c:v>
                </c:pt>
                <c:pt idx="13">
                  <c:v>-453456.20533218567</c:v>
                </c:pt>
                <c:pt idx="14">
                  <c:v>-450786.7833820972</c:v>
                </c:pt>
                <c:pt idx="15">
                  <c:v>-448157.40655702114</c:v>
                </c:pt>
                <c:pt idx="16">
                  <c:v>-445567.26922717021</c:v>
                </c:pt>
                <c:pt idx="17">
                  <c:v>-443015.58571233501</c:v>
                </c:pt>
                <c:pt idx="18">
                  <c:v>-440501.58970062673</c:v>
                </c:pt>
                <c:pt idx="19">
                  <c:v>-438024.53368659632</c:v>
                </c:pt>
                <c:pt idx="20">
                  <c:v>-435583.68842800352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4-3643-BAB1-223C8A074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608095"/>
        <c:axId val="1040609807"/>
      </c:scatterChart>
      <c:valAx>
        <c:axId val="104060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0609807"/>
        <c:crosses val="autoZero"/>
        <c:crossBetween val="midCat"/>
      </c:valAx>
      <c:valAx>
        <c:axId val="104060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060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_tradnl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0"/>
          <c:cat>
            <c:strRef>
              <c:f>'QuantumVault MONTECARLO'!$M$102:$M$133</c:f>
              <c:strCache>
                <c:ptCount val="32"/>
                <c:pt idx="0">
                  <c:v>-499560,3757</c:v>
                </c:pt>
                <c:pt idx="1">
                  <c:v>-495538,7391</c:v>
                </c:pt>
                <c:pt idx="2">
                  <c:v>-491517,1026</c:v>
                </c:pt>
                <c:pt idx="3">
                  <c:v>-487495,466</c:v>
                </c:pt>
                <c:pt idx="4">
                  <c:v>-483473,8295</c:v>
                </c:pt>
                <c:pt idx="5">
                  <c:v>-479452,193</c:v>
                </c:pt>
                <c:pt idx="6">
                  <c:v>-475430,5564</c:v>
                </c:pt>
                <c:pt idx="7">
                  <c:v>-471408,9199</c:v>
                </c:pt>
                <c:pt idx="8">
                  <c:v>-467387,2833</c:v>
                </c:pt>
                <c:pt idx="9">
                  <c:v>-463365,6468</c:v>
                </c:pt>
                <c:pt idx="10">
                  <c:v>-459344,0103</c:v>
                </c:pt>
                <c:pt idx="11">
                  <c:v>-455322,3737</c:v>
                </c:pt>
                <c:pt idx="12">
                  <c:v>-451300,7372</c:v>
                </c:pt>
                <c:pt idx="13">
                  <c:v>-447279,1006</c:v>
                </c:pt>
                <c:pt idx="14">
                  <c:v>-443257,4641</c:v>
                </c:pt>
                <c:pt idx="15">
                  <c:v>-439235,8276</c:v>
                </c:pt>
                <c:pt idx="16">
                  <c:v>-435214,191</c:v>
                </c:pt>
                <c:pt idx="17">
                  <c:v>-431192,5545</c:v>
                </c:pt>
                <c:pt idx="18">
                  <c:v>-427170,9179</c:v>
                </c:pt>
                <c:pt idx="19">
                  <c:v>-423149,2814</c:v>
                </c:pt>
                <c:pt idx="20">
                  <c:v>-419127,6449</c:v>
                </c:pt>
                <c:pt idx="21">
                  <c:v>-415106,0083</c:v>
                </c:pt>
                <c:pt idx="22">
                  <c:v>-411084,3718</c:v>
                </c:pt>
                <c:pt idx="23">
                  <c:v>-407062,7353</c:v>
                </c:pt>
                <c:pt idx="24">
                  <c:v>-403041,0987</c:v>
                </c:pt>
                <c:pt idx="25">
                  <c:v>-399019,4622</c:v>
                </c:pt>
                <c:pt idx="26">
                  <c:v>-394997,8256</c:v>
                </c:pt>
                <c:pt idx="27">
                  <c:v>-390976,1891</c:v>
                </c:pt>
                <c:pt idx="28">
                  <c:v>-386954,5526</c:v>
                </c:pt>
                <c:pt idx="29">
                  <c:v>-382932,916</c:v>
                </c:pt>
                <c:pt idx="30">
                  <c:v>-378911,2795</c:v>
                </c:pt>
                <c:pt idx="31">
                  <c:v>y mayor...</c:v>
                </c:pt>
              </c:strCache>
            </c:strRef>
          </c:cat>
          <c:val>
            <c:numRef>
              <c:f>'QuantumVault MONTECARLO'!$N$102:$N$133</c:f>
              <c:numCache>
                <c:formatCode>General</c:formatCode>
                <c:ptCount val="3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18</c:v>
                </c:pt>
                <c:pt idx="5">
                  <c:v>16</c:v>
                </c:pt>
                <c:pt idx="6">
                  <c:v>19</c:v>
                </c:pt>
                <c:pt idx="7">
                  <c:v>40</c:v>
                </c:pt>
                <c:pt idx="8">
                  <c:v>44</c:v>
                </c:pt>
                <c:pt idx="9">
                  <c:v>39</c:v>
                </c:pt>
                <c:pt idx="10">
                  <c:v>43</c:v>
                </c:pt>
                <c:pt idx="11">
                  <c:v>40</c:v>
                </c:pt>
                <c:pt idx="12">
                  <c:v>55</c:v>
                </c:pt>
                <c:pt idx="13">
                  <c:v>75</c:v>
                </c:pt>
                <c:pt idx="14">
                  <c:v>71</c:v>
                </c:pt>
                <c:pt idx="15">
                  <c:v>84</c:v>
                </c:pt>
                <c:pt idx="16">
                  <c:v>61</c:v>
                </c:pt>
                <c:pt idx="17">
                  <c:v>72</c:v>
                </c:pt>
                <c:pt idx="18">
                  <c:v>64</c:v>
                </c:pt>
                <c:pt idx="19">
                  <c:v>51</c:v>
                </c:pt>
                <c:pt idx="20">
                  <c:v>44</c:v>
                </c:pt>
                <c:pt idx="21">
                  <c:v>39</c:v>
                </c:pt>
                <c:pt idx="22">
                  <c:v>32</c:v>
                </c:pt>
                <c:pt idx="23">
                  <c:v>33</c:v>
                </c:pt>
                <c:pt idx="24">
                  <c:v>12</c:v>
                </c:pt>
                <c:pt idx="25">
                  <c:v>13</c:v>
                </c:pt>
                <c:pt idx="26">
                  <c:v>11</c:v>
                </c:pt>
                <c:pt idx="27">
                  <c:v>3</c:v>
                </c:pt>
                <c:pt idx="28">
                  <c:v>4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9E-0B42-8271-7F5C83882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4564415"/>
        <c:axId val="1144566127"/>
      </c:barChart>
      <c:lineChart>
        <c:grouping val="standard"/>
        <c:varyColors val="0"/>
        <c:ser>
          <c:idx val="1"/>
          <c:order val="1"/>
          <c:tx>
            <c:v>% acumulado</c:v>
          </c:tx>
          <c:cat>
            <c:strRef>
              <c:f>'QuantumVault MONTECARLO'!$M$102:$M$133</c:f>
              <c:strCache>
                <c:ptCount val="32"/>
                <c:pt idx="0">
                  <c:v>-499560,3757</c:v>
                </c:pt>
                <c:pt idx="1">
                  <c:v>-495538,7391</c:v>
                </c:pt>
                <c:pt idx="2">
                  <c:v>-491517,1026</c:v>
                </c:pt>
                <c:pt idx="3">
                  <c:v>-487495,466</c:v>
                </c:pt>
                <c:pt idx="4">
                  <c:v>-483473,8295</c:v>
                </c:pt>
                <c:pt idx="5">
                  <c:v>-479452,193</c:v>
                </c:pt>
                <c:pt idx="6">
                  <c:v>-475430,5564</c:v>
                </c:pt>
                <c:pt idx="7">
                  <c:v>-471408,9199</c:v>
                </c:pt>
                <c:pt idx="8">
                  <c:v>-467387,2833</c:v>
                </c:pt>
                <c:pt idx="9">
                  <c:v>-463365,6468</c:v>
                </c:pt>
                <c:pt idx="10">
                  <c:v>-459344,0103</c:v>
                </c:pt>
                <c:pt idx="11">
                  <c:v>-455322,3737</c:v>
                </c:pt>
                <c:pt idx="12">
                  <c:v>-451300,7372</c:v>
                </c:pt>
                <c:pt idx="13">
                  <c:v>-447279,1006</c:v>
                </c:pt>
                <c:pt idx="14">
                  <c:v>-443257,4641</c:v>
                </c:pt>
                <c:pt idx="15">
                  <c:v>-439235,8276</c:v>
                </c:pt>
                <c:pt idx="16">
                  <c:v>-435214,191</c:v>
                </c:pt>
                <c:pt idx="17">
                  <c:v>-431192,5545</c:v>
                </c:pt>
                <c:pt idx="18">
                  <c:v>-427170,9179</c:v>
                </c:pt>
                <c:pt idx="19">
                  <c:v>-423149,2814</c:v>
                </c:pt>
                <c:pt idx="20">
                  <c:v>-419127,6449</c:v>
                </c:pt>
                <c:pt idx="21">
                  <c:v>-415106,0083</c:v>
                </c:pt>
                <c:pt idx="22">
                  <c:v>-411084,3718</c:v>
                </c:pt>
                <c:pt idx="23">
                  <c:v>-407062,7353</c:v>
                </c:pt>
                <c:pt idx="24">
                  <c:v>-403041,0987</c:v>
                </c:pt>
                <c:pt idx="25">
                  <c:v>-399019,4622</c:v>
                </c:pt>
                <c:pt idx="26">
                  <c:v>-394997,8256</c:v>
                </c:pt>
                <c:pt idx="27">
                  <c:v>-390976,1891</c:v>
                </c:pt>
                <c:pt idx="28">
                  <c:v>-386954,5526</c:v>
                </c:pt>
                <c:pt idx="29">
                  <c:v>-382932,916</c:v>
                </c:pt>
                <c:pt idx="30">
                  <c:v>-378911,2795</c:v>
                </c:pt>
                <c:pt idx="31">
                  <c:v>y mayor...</c:v>
                </c:pt>
              </c:strCache>
            </c:strRef>
          </c:cat>
          <c:val>
            <c:numRef>
              <c:f>'QuantumVault MONTECARLO'!$O$102:$O$133</c:f>
              <c:numCache>
                <c:formatCode>0.00%</c:formatCode>
                <c:ptCount val="32"/>
                <c:pt idx="0">
                  <c:v>1E-3</c:v>
                </c:pt>
                <c:pt idx="1">
                  <c:v>4.0000000000000001E-3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3.3000000000000002E-2</c:v>
                </c:pt>
                <c:pt idx="5">
                  <c:v>4.9000000000000002E-2</c:v>
                </c:pt>
                <c:pt idx="6">
                  <c:v>6.8000000000000005E-2</c:v>
                </c:pt>
                <c:pt idx="7">
                  <c:v>0.108</c:v>
                </c:pt>
                <c:pt idx="8">
                  <c:v>0.152</c:v>
                </c:pt>
                <c:pt idx="9">
                  <c:v>0.191</c:v>
                </c:pt>
                <c:pt idx="10">
                  <c:v>0.23400000000000001</c:v>
                </c:pt>
                <c:pt idx="11">
                  <c:v>0.27400000000000002</c:v>
                </c:pt>
                <c:pt idx="12">
                  <c:v>0.32900000000000001</c:v>
                </c:pt>
                <c:pt idx="13">
                  <c:v>0.40400000000000003</c:v>
                </c:pt>
                <c:pt idx="14">
                  <c:v>0.47499999999999998</c:v>
                </c:pt>
                <c:pt idx="15">
                  <c:v>0.55900000000000005</c:v>
                </c:pt>
                <c:pt idx="16">
                  <c:v>0.62</c:v>
                </c:pt>
                <c:pt idx="17">
                  <c:v>0.69199999999999995</c:v>
                </c:pt>
                <c:pt idx="18">
                  <c:v>0.75600000000000001</c:v>
                </c:pt>
                <c:pt idx="19">
                  <c:v>0.80700000000000005</c:v>
                </c:pt>
                <c:pt idx="20">
                  <c:v>0.85099999999999998</c:v>
                </c:pt>
                <c:pt idx="21">
                  <c:v>0.89</c:v>
                </c:pt>
                <c:pt idx="22">
                  <c:v>0.92200000000000004</c:v>
                </c:pt>
                <c:pt idx="23">
                  <c:v>0.95499999999999996</c:v>
                </c:pt>
                <c:pt idx="24">
                  <c:v>0.96699999999999997</c:v>
                </c:pt>
                <c:pt idx="25">
                  <c:v>0.98</c:v>
                </c:pt>
                <c:pt idx="26">
                  <c:v>0.99099999999999999</c:v>
                </c:pt>
                <c:pt idx="27">
                  <c:v>0.99399999999999999</c:v>
                </c:pt>
                <c:pt idx="28">
                  <c:v>0.998</c:v>
                </c:pt>
                <c:pt idx="29">
                  <c:v>0.999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9E-0B42-8271-7F5C83882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732495"/>
        <c:axId val="1352604063"/>
      </c:lineChart>
      <c:catAx>
        <c:axId val="114456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_tradnl"/>
                  <a:t>Clase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4566127"/>
        <c:crosses val="autoZero"/>
        <c:auto val="1"/>
        <c:lblAlgn val="ctr"/>
        <c:lblOffset val="100"/>
        <c:noMultiLvlLbl val="0"/>
      </c:catAx>
      <c:valAx>
        <c:axId val="1144566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S_tradnl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4564415"/>
        <c:crosses val="autoZero"/>
        <c:crossBetween val="between"/>
      </c:valAx>
      <c:valAx>
        <c:axId val="135260406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342732495"/>
        <c:crosses val="max"/>
        <c:crossBetween val="between"/>
      </c:valAx>
      <c:catAx>
        <c:axId val="1342732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2604063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133</xdr:row>
      <xdr:rowOff>146050</xdr:rowOff>
    </xdr:from>
    <xdr:to>
      <xdr:col>9</xdr:col>
      <xdr:colOff>317500</xdr:colOff>
      <xdr:row>154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6A8928-4F88-81A0-8D39-EE5210DDE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534018</xdr:colOff>
      <xdr:row>100</xdr:row>
      <xdr:rowOff>35622</xdr:rowOff>
    </xdr:from>
    <xdr:to>
      <xdr:col>27</xdr:col>
      <xdr:colOff>185506</xdr:colOff>
      <xdr:row>115</xdr:row>
      <xdr:rowOff>142697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643CC4-EB10-D389-AE1D-75AF9426E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DFF6-BE5C-C948-96CF-08834CD128C0}">
  <dimension ref="B2:AI183"/>
  <sheetViews>
    <sheetView topLeftCell="A162" workbookViewId="0">
      <selection activeCell="E186" sqref="E186"/>
    </sheetView>
  </sheetViews>
  <sheetFormatPr baseColWidth="10" defaultRowHeight="16" x14ac:dyDescent="0.2"/>
  <cols>
    <col min="2" max="2" width="33.6640625" bestFit="1" customWidth="1"/>
    <col min="3" max="3" width="26" bestFit="1" customWidth="1"/>
    <col min="4" max="4" width="30.6640625" bestFit="1" customWidth="1"/>
    <col min="5" max="5" width="46.83203125" bestFit="1" customWidth="1"/>
    <col min="6" max="6" width="13" bestFit="1" customWidth="1"/>
    <col min="7" max="7" width="30.1640625" bestFit="1" customWidth="1"/>
    <col min="8" max="8" width="19.83203125" bestFit="1" customWidth="1"/>
    <col min="9" max="9" width="11.33203125" bestFit="1" customWidth="1"/>
    <col min="10" max="10" width="17.6640625" bestFit="1" customWidth="1"/>
    <col min="11" max="11" width="11.33203125" bestFit="1" customWidth="1"/>
    <col min="12" max="12" width="28" bestFit="1" customWidth="1"/>
    <col min="13" max="13" width="13.1640625" bestFit="1" customWidth="1"/>
    <col min="14" max="14" width="18" bestFit="1" customWidth="1"/>
    <col min="15" max="15" width="11.33203125" bestFit="1" customWidth="1"/>
    <col min="20" max="20" width="15.1640625" bestFit="1" customWidth="1"/>
    <col min="27" max="27" width="28.5" bestFit="1" customWidth="1"/>
    <col min="28" max="30" width="12.6640625" bestFit="1" customWidth="1"/>
    <col min="31" max="32" width="13.6640625" bestFit="1" customWidth="1"/>
    <col min="33" max="33" width="14.33203125" bestFit="1" customWidth="1"/>
    <col min="34" max="34" width="14.83203125" bestFit="1" customWidth="1"/>
    <col min="35" max="35" width="18" bestFit="1" customWidth="1"/>
    <col min="36" max="36" width="13.6640625" bestFit="1" customWidth="1"/>
  </cols>
  <sheetData>
    <row r="2" spans="2:35" ht="22" x14ac:dyDescent="0.3">
      <c r="B2" s="1" t="s">
        <v>0</v>
      </c>
      <c r="G2" s="1" t="s">
        <v>125</v>
      </c>
      <c r="L2" s="1" t="s">
        <v>133</v>
      </c>
      <c r="T2" s="1" t="s">
        <v>181</v>
      </c>
      <c r="AA2" s="30" t="s">
        <v>185</v>
      </c>
    </row>
    <row r="4" spans="2:35" ht="19" x14ac:dyDescent="0.25">
      <c r="B4" s="12" t="s">
        <v>22</v>
      </c>
      <c r="G4" s="10" t="s">
        <v>1</v>
      </c>
      <c r="H4" s="10" t="s">
        <v>127</v>
      </c>
      <c r="I4" s="10" t="s">
        <v>128</v>
      </c>
      <c r="J4" s="10" t="s">
        <v>15</v>
      </c>
      <c r="L4" s="20" t="s">
        <v>160</v>
      </c>
      <c r="T4" s="8" t="s">
        <v>176</v>
      </c>
      <c r="U4" s="8">
        <v>1</v>
      </c>
      <c r="V4" s="8">
        <v>2</v>
      </c>
      <c r="W4" s="8">
        <v>3</v>
      </c>
      <c r="X4" s="8">
        <v>4</v>
      </c>
      <c r="Y4" s="8">
        <v>5</v>
      </c>
      <c r="AA4" s="32" t="s">
        <v>186</v>
      </c>
      <c r="AB4" s="32"/>
      <c r="AC4" s="32" t="s">
        <v>187</v>
      </c>
      <c r="AD4" s="32"/>
      <c r="AE4" s="32"/>
      <c r="AF4" s="32"/>
      <c r="AG4" s="32"/>
      <c r="AH4" s="32"/>
      <c r="AI4" s="32"/>
    </row>
    <row r="5" spans="2:35" x14ac:dyDescent="0.2">
      <c r="B5" s="10" t="s">
        <v>23</v>
      </c>
      <c r="C5" s="10" t="s">
        <v>2</v>
      </c>
      <c r="D5" s="2"/>
      <c r="E5" s="2"/>
      <c r="F5" s="2"/>
      <c r="G5" s="11" t="s">
        <v>9</v>
      </c>
      <c r="H5" s="14">
        <v>80000</v>
      </c>
      <c r="I5" s="6" t="s">
        <v>129</v>
      </c>
      <c r="J5" s="14">
        <v>16000</v>
      </c>
      <c r="L5" s="9" t="s">
        <v>167</v>
      </c>
      <c r="M5" s="9" t="s">
        <v>134</v>
      </c>
      <c r="N5" s="9" t="s">
        <v>135</v>
      </c>
      <c r="O5" s="9" t="s">
        <v>126</v>
      </c>
      <c r="T5" s="8" t="s">
        <v>177</v>
      </c>
      <c r="U5" s="6">
        <f>C18</f>
        <v>20</v>
      </c>
      <c r="V5" s="22">
        <f>U5*(1+$C$19)</f>
        <v>28</v>
      </c>
      <c r="W5" s="22">
        <f t="shared" ref="W5:Y5" si="0">V5*(1+$C$19)</f>
        <v>39.199999999999996</v>
      </c>
      <c r="X5" s="22">
        <f t="shared" si="0"/>
        <v>54.879999999999988</v>
      </c>
      <c r="Y5" s="22">
        <f t="shared" si="0"/>
        <v>76.831999999999979</v>
      </c>
      <c r="AA5" s="8" t="s">
        <v>194</v>
      </c>
      <c r="AB5" s="6">
        <f>C72*C76</f>
        <v>92100</v>
      </c>
      <c r="AC5" s="8" t="s">
        <v>188</v>
      </c>
      <c r="AD5" s="8" t="s">
        <v>189</v>
      </c>
      <c r="AE5" s="8" t="s">
        <v>190</v>
      </c>
      <c r="AF5" s="8" t="s">
        <v>191</v>
      </c>
      <c r="AG5" s="8" t="s">
        <v>192</v>
      </c>
      <c r="AH5" s="8" t="s">
        <v>193</v>
      </c>
      <c r="AI5" s="8" t="s">
        <v>216</v>
      </c>
    </row>
    <row r="6" spans="2:35" x14ac:dyDescent="0.2">
      <c r="B6" s="11" t="s">
        <v>25</v>
      </c>
      <c r="C6" s="6">
        <v>5</v>
      </c>
      <c r="G6" s="11" t="s">
        <v>79</v>
      </c>
      <c r="H6" s="14">
        <v>15000</v>
      </c>
      <c r="I6" s="6"/>
      <c r="J6" s="6">
        <v>0</v>
      </c>
      <c r="L6" s="6" t="s">
        <v>136</v>
      </c>
      <c r="M6" s="6">
        <v>2</v>
      </c>
      <c r="N6" s="14">
        <v>40000</v>
      </c>
      <c r="O6" s="14">
        <f>N6*M6</f>
        <v>80000</v>
      </c>
      <c r="T6" s="8" t="s">
        <v>182</v>
      </c>
      <c r="U6" s="6">
        <v>150</v>
      </c>
      <c r="V6" s="6">
        <v>150</v>
      </c>
      <c r="W6" s="6">
        <v>150</v>
      </c>
      <c r="X6" s="6">
        <v>150</v>
      </c>
      <c r="Y6" s="6">
        <v>150</v>
      </c>
      <c r="AA6" s="8" t="s">
        <v>195</v>
      </c>
      <c r="AB6" s="7">
        <f>C77</f>
        <v>0.05</v>
      </c>
      <c r="AC6" s="8">
        <v>1</v>
      </c>
      <c r="AD6" s="29">
        <f>$AB$5</f>
        <v>92100</v>
      </c>
      <c r="AE6" s="29">
        <f>$AB$8</f>
        <v>21272.778907613494</v>
      </c>
      <c r="AF6" s="29">
        <f>AD6*$AB$6</f>
        <v>4605</v>
      </c>
      <c r="AG6" s="29">
        <f>AE6-AF6</f>
        <v>16667.778907613494</v>
      </c>
      <c r="AH6" s="29">
        <f>AF6*(1-$AB$9)</f>
        <v>3453.75</v>
      </c>
      <c r="AI6" s="37">
        <f>AG6+AH6</f>
        <v>20121.528907613494</v>
      </c>
    </row>
    <row r="7" spans="2:35" x14ac:dyDescent="0.2">
      <c r="B7" s="11" t="s">
        <v>27</v>
      </c>
      <c r="C7" s="6">
        <v>2026</v>
      </c>
      <c r="G7" s="11" t="s">
        <v>10</v>
      </c>
      <c r="H7" s="14">
        <v>5000</v>
      </c>
      <c r="I7" s="6"/>
      <c r="J7" s="6">
        <v>0</v>
      </c>
      <c r="L7" s="6" t="s">
        <v>137</v>
      </c>
      <c r="M7" s="6">
        <v>1</v>
      </c>
      <c r="N7" s="14">
        <v>30000</v>
      </c>
      <c r="O7" s="14">
        <f>N7</f>
        <v>30000</v>
      </c>
      <c r="T7" s="8" t="s">
        <v>183</v>
      </c>
      <c r="U7" s="6">
        <v>12</v>
      </c>
      <c r="V7" s="6">
        <v>12</v>
      </c>
      <c r="W7" s="6">
        <v>12</v>
      </c>
      <c r="X7" s="6">
        <v>12</v>
      </c>
      <c r="Y7" s="6">
        <v>12</v>
      </c>
      <c r="AA7" s="8" t="s">
        <v>196</v>
      </c>
      <c r="AB7" s="6">
        <f>5</f>
        <v>5</v>
      </c>
      <c r="AC7" s="8">
        <v>2</v>
      </c>
      <c r="AD7" s="29">
        <f>AD6-AG6</f>
        <v>75432.221092386506</v>
      </c>
      <c r="AE7" s="29">
        <f>$AB$8</f>
        <v>21272.778907613494</v>
      </c>
      <c r="AF7" s="29">
        <f>AD7*$AB$6</f>
        <v>3771.6110546193254</v>
      </c>
      <c r="AG7" s="29">
        <f>AE7-AF7</f>
        <v>17501.167852994167</v>
      </c>
      <c r="AH7" s="29">
        <f>AF7*(1-$AB$9)</f>
        <v>2828.7082909644942</v>
      </c>
      <c r="AI7" s="37">
        <f>AG7+AH7</f>
        <v>20329.87614395866</v>
      </c>
    </row>
    <row r="8" spans="2:35" x14ac:dyDescent="0.2">
      <c r="B8" s="11" t="s">
        <v>28</v>
      </c>
      <c r="C8" s="6" t="s">
        <v>29</v>
      </c>
      <c r="G8" s="11" t="s">
        <v>81</v>
      </c>
      <c r="H8" s="14">
        <v>7500</v>
      </c>
      <c r="I8" s="6" t="s">
        <v>130</v>
      </c>
      <c r="J8" s="14">
        <v>1875</v>
      </c>
      <c r="L8" s="10" t="s">
        <v>138</v>
      </c>
      <c r="M8" s="11"/>
      <c r="N8" s="11"/>
      <c r="O8" s="16">
        <f>O7+O6</f>
        <v>110000</v>
      </c>
      <c r="T8" s="8" t="s">
        <v>184</v>
      </c>
      <c r="U8" s="24">
        <f>U5*U6*U7</f>
        <v>36000</v>
      </c>
      <c r="V8" s="24">
        <f t="shared" ref="V8:Y8" si="1">V5*V6*V7</f>
        <v>50400</v>
      </c>
      <c r="W8" s="24">
        <f t="shared" si="1"/>
        <v>70559.999999999985</v>
      </c>
      <c r="X8" s="24">
        <f t="shared" si="1"/>
        <v>98783.999999999971</v>
      </c>
      <c r="Y8" s="24">
        <f t="shared" si="1"/>
        <v>138297.59999999998</v>
      </c>
      <c r="AA8" s="8" t="s">
        <v>190</v>
      </c>
      <c r="AB8" s="31">
        <f>PMT($AB$6,$AB$7,-$AB$5)</f>
        <v>21272.778907613494</v>
      </c>
      <c r="AC8" s="8">
        <v>3</v>
      </c>
      <c r="AD8" s="29">
        <f>AD7-AG7</f>
        <v>57931.053239392335</v>
      </c>
      <c r="AE8" s="29">
        <f>$AB$8</f>
        <v>21272.778907613494</v>
      </c>
      <c r="AF8" s="29">
        <f>AD8*$AB$6</f>
        <v>2896.552661969617</v>
      </c>
      <c r="AG8" s="29">
        <f>AE8-AF8</f>
        <v>18376.226245643877</v>
      </c>
      <c r="AH8" s="29">
        <f>AF8*(1-$AB$9)</f>
        <v>2172.4144964772127</v>
      </c>
      <c r="AI8" s="37">
        <f>AG8+AH8</f>
        <v>20548.64074212109</v>
      </c>
    </row>
    <row r="9" spans="2:35" x14ac:dyDescent="0.2">
      <c r="B9" s="11" t="s">
        <v>30</v>
      </c>
      <c r="C9" s="6" t="s">
        <v>31</v>
      </c>
      <c r="G9" s="11" t="s">
        <v>82</v>
      </c>
      <c r="H9" s="14">
        <v>6000</v>
      </c>
      <c r="I9" s="6"/>
      <c r="J9" s="6">
        <v>0</v>
      </c>
      <c r="L9" s="9" t="s">
        <v>139</v>
      </c>
      <c r="M9" s="6"/>
      <c r="N9" s="9" t="s">
        <v>140</v>
      </c>
      <c r="O9" s="9" t="s">
        <v>141</v>
      </c>
      <c r="AA9" s="8" t="s">
        <v>197</v>
      </c>
      <c r="AB9" s="7">
        <f>C61</f>
        <v>0.25</v>
      </c>
      <c r="AC9" s="8">
        <v>4</v>
      </c>
      <c r="AD9" s="29">
        <f>AD8-AG8</f>
        <v>39554.826993748458</v>
      </c>
      <c r="AE9" s="29">
        <f>$AB$8</f>
        <v>21272.778907613494</v>
      </c>
      <c r="AF9" s="29">
        <f>AD9*$AB$6</f>
        <v>1977.7413496874231</v>
      </c>
      <c r="AG9" s="29">
        <f>AE9-AF9</f>
        <v>19295.037557926073</v>
      </c>
      <c r="AH9" s="29">
        <f>AF9*(1-$AB$9)</f>
        <v>1483.3060122655672</v>
      </c>
      <c r="AI9" s="37">
        <f>AG9+AH9</f>
        <v>20778.343570191639</v>
      </c>
    </row>
    <row r="10" spans="2:35" x14ac:dyDescent="0.2">
      <c r="B10" s="11" t="s">
        <v>32</v>
      </c>
      <c r="C10" s="6" t="s">
        <v>33</v>
      </c>
      <c r="G10" s="11" t="s">
        <v>131</v>
      </c>
      <c r="H10" s="14">
        <v>15000</v>
      </c>
      <c r="I10" s="6"/>
      <c r="J10" s="6">
        <v>0</v>
      </c>
      <c r="L10" s="6" t="s">
        <v>142</v>
      </c>
      <c r="M10" s="6"/>
      <c r="N10" s="6">
        <v>120</v>
      </c>
      <c r="O10" s="14">
        <f>N10*12</f>
        <v>1440</v>
      </c>
      <c r="AA10" s="34"/>
      <c r="AB10" s="34"/>
      <c r="AC10" s="8">
        <v>5</v>
      </c>
      <c r="AD10" s="29">
        <f>AD9-AG9</f>
        <v>20259.789435822386</v>
      </c>
      <c r="AE10" s="29">
        <f>$AB$8</f>
        <v>21272.778907613494</v>
      </c>
      <c r="AF10" s="29">
        <f>AD10*$AB$6</f>
        <v>1012.9894717911193</v>
      </c>
      <c r="AG10" s="29">
        <f>AE10-AF10</f>
        <v>20259.789435822375</v>
      </c>
      <c r="AH10" s="29">
        <f>AF10*(1-$AB$9)</f>
        <v>759.74210384333946</v>
      </c>
      <c r="AI10" s="37">
        <f>AG10+AH10</f>
        <v>21019.531539665713</v>
      </c>
    </row>
    <row r="11" spans="2:35" x14ac:dyDescent="0.2">
      <c r="B11" s="11" t="s">
        <v>34</v>
      </c>
      <c r="C11" s="6" t="s">
        <v>35</v>
      </c>
      <c r="G11" s="11" t="s">
        <v>83</v>
      </c>
      <c r="H11" s="14">
        <v>25000</v>
      </c>
      <c r="I11" s="6"/>
      <c r="J11" s="6">
        <v>0</v>
      </c>
      <c r="L11" s="6" t="s">
        <v>143</v>
      </c>
      <c r="M11" s="6"/>
      <c r="N11" s="6">
        <v>300</v>
      </c>
      <c r="O11" s="14">
        <f t="shared" ref="O11:O14" si="2">N11*12</f>
        <v>3600</v>
      </c>
    </row>
    <row r="12" spans="2:35" x14ac:dyDescent="0.2">
      <c r="B12" s="11" t="s">
        <v>36</v>
      </c>
      <c r="C12" s="6" t="s">
        <v>37</v>
      </c>
      <c r="G12" s="10" t="s">
        <v>132</v>
      </c>
      <c r="H12" s="16">
        <v>153500</v>
      </c>
      <c r="I12" s="11"/>
      <c r="J12" s="16">
        <v>17875</v>
      </c>
      <c r="L12" s="6" t="s">
        <v>144</v>
      </c>
      <c r="M12" s="6"/>
      <c r="N12" s="6">
        <v>200</v>
      </c>
      <c r="O12" s="14">
        <f t="shared" si="2"/>
        <v>2400</v>
      </c>
    </row>
    <row r="13" spans="2:35" x14ac:dyDescent="0.2">
      <c r="L13" s="6" t="s">
        <v>145</v>
      </c>
      <c r="M13" s="6"/>
      <c r="N13" s="6">
        <v>150</v>
      </c>
      <c r="O13" s="14">
        <f t="shared" si="2"/>
        <v>1800</v>
      </c>
    </row>
    <row r="14" spans="2:35" ht="19" x14ac:dyDescent="0.25">
      <c r="B14" s="12" t="s">
        <v>38</v>
      </c>
      <c r="L14" s="6" t="s">
        <v>146</v>
      </c>
      <c r="M14" s="6"/>
      <c r="N14" s="6">
        <v>100</v>
      </c>
      <c r="O14" s="14">
        <f t="shared" si="2"/>
        <v>1200</v>
      </c>
    </row>
    <row r="15" spans="2:35" x14ac:dyDescent="0.2">
      <c r="B15" s="10" t="s">
        <v>23</v>
      </c>
      <c r="C15" s="10" t="s">
        <v>2</v>
      </c>
      <c r="D15" s="10" t="s">
        <v>24</v>
      </c>
      <c r="E15" s="10" t="s">
        <v>39</v>
      </c>
      <c r="F15" s="2"/>
      <c r="L15" s="10" t="s">
        <v>147</v>
      </c>
      <c r="M15" s="11"/>
      <c r="N15" s="10">
        <f>SUM(N10:N14)</f>
        <v>870</v>
      </c>
      <c r="O15" s="16">
        <f>SUM(O10:O14)</f>
        <v>10440</v>
      </c>
    </row>
    <row r="16" spans="2:35" x14ac:dyDescent="0.2">
      <c r="B16" s="11" t="s">
        <v>40</v>
      </c>
      <c r="C16" s="14">
        <v>10000</v>
      </c>
      <c r="D16" s="6"/>
      <c r="E16" s="6" t="s">
        <v>41</v>
      </c>
      <c r="L16" s="9" t="s">
        <v>152</v>
      </c>
      <c r="M16" s="6"/>
      <c r="N16" s="6"/>
      <c r="O16" s="9" t="s">
        <v>141</v>
      </c>
    </row>
    <row r="17" spans="2:33" x14ac:dyDescent="0.2">
      <c r="B17" s="11" t="s">
        <v>42</v>
      </c>
      <c r="C17" s="15">
        <v>2E-3</v>
      </c>
      <c r="D17" s="6"/>
      <c r="E17" s="6" t="s">
        <v>43</v>
      </c>
      <c r="L17" s="6" t="s">
        <v>148</v>
      </c>
      <c r="M17" s="6"/>
      <c r="N17" s="6"/>
      <c r="O17" s="6">
        <v>200</v>
      </c>
      <c r="AA17" s="34"/>
      <c r="AB17" s="34"/>
      <c r="AC17" s="34"/>
      <c r="AD17" s="34"/>
      <c r="AE17" s="34"/>
      <c r="AF17" s="34"/>
      <c r="AG17" s="34"/>
    </row>
    <row r="18" spans="2:33" x14ac:dyDescent="0.2">
      <c r="B18" s="11" t="s">
        <v>44</v>
      </c>
      <c r="C18" s="6">
        <f>C16*C17</f>
        <v>20</v>
      </c>
      <c r="D18" s="6" t="s">
        <v>45</v>
      </c>
      <c r="E18" s="6" t="s">
        <v>46</v>
      </c>
      <c r="L18" s="6" t="s">
        <v>149</v>
      </c>
      <c r="M18" s="6"/>
      <c r="N18" s="6"/>
      <c r="O18" s="14">
        <v>1000</v>
      </c>
      <c r="AA18" s="34"/>
      <c r="AB18" s="35"/>
      <c r="AC18" s="35"/>
      <c r="AD18" s="35"/>
      <c r="AE18" s="35"/>
      <c r="AF18" s="35"/>
      <c r="AG18" s="35"/>
    </row>
    <row r="19" spans="2:33" x14ac:dyDescent="0.2">
      <c r="B19" s="11" t="s">
        <v>47</v>
      </c>
      <c r="C19" s="7">
        <v>0.4</v>
      </c>
      <c r="D19" s="6" t="s">
        <v>48</v>
      </c>
      <c r="E19" s="6" t="s">
        <v>49</v>
      </c>
      <c r="L19" s="6" t="s">
        <v>150</v>
      </c>
      <c r="M19" s="6"/>
      <c r="N19" s="6"/>
      <c r="O19" s="14">
        <v>1800</v>
      </c>
      <c r="AA19" s="34"/>
      <c r="AB19" s="35"/>
      <c r="AC19" s="35"/>
      <c r="AD19" s="35"/>
      <c r="AE19" s="35"/>
      <c r="AF19" s="35"/>
      <c r="AG19" s="35"/>
    </row>
    <row r="20" spans="2:33" x14ac:dyDescent="0.2">
      <c r="B20" s="11" t="s">
        <v>50</v>
      </c>
      <c r="C20" s="6">
        <v>5</v>
      </c>
      <c r="D20" s="6" t="s">
        <v>51</v>
      </c>
      <c r="E20" s="6" t="s">
        <v>52</v>
      </c>
      <c r="L20" s="10" t="s">
        <v>151</v>
      </c>
      <c r="M20" s="11"/>
      <c r="N20" s="11"/>
      <c r="O20" s="16">
        <f>SUM(O17:O19)</f>
        <v>3000</v>
      </c>
      <c r="AA20" s="34"/>
      <c r="AB20" s="35"/>
      <c r="AC20" s="35"/>
      <c r="AD20" s="35"/>
      <c r="AE20" s="35"/>
      <c r="AF20" s="35"/>
      <c r="AG20" s="35"/>
    </row>
    <row r="21" spans="2:33" x14ac:dyDescent="0.2">
      <c r="B21" s="11" t="s">
        <v>53</v>
      </c>
      <c r="C21" s="6">
        <v>1</v>
      </c>
      <c r="D21" s="6" t="s">
        <v>54</v>
      </c>
      <c r="E21" s="6" t="s">
        <v>52</v>
      </c>
      <c r="L21" s="5" t="s">
        <v>157</v>
      </c>
      <c r="M21" s="6"/>
      <c r="N21" s="6"/>
      <c r="O21" s="9" t="s">
        <v>141</v>
      </c>
      <c r="AA21" s="34"/>
      <c r="AB21" s="35"/>
      <c r="AC21" s="35"/>
      <c r="AD21" s="35"/>
      <c r="AE21" s="35"/>
      <c r="AF21" s="35"/>
      <c r="AG21" s="35"/>
    </row>
    <row r="22" spans="2:33" x14ac:dyDescent="0.2">
      <c r="B22" s="11" t="s">
        <v>55</v>
      </c>
      <c r="C22" s="6">
        <v>20</v>
      </c>
      <c r="D22" s="6" t="s">
        <v>54</v>
      </c>
      <c r="E22" s="6" t="s">
        <v>56</v>
      </c>
      <c r="L22" s="6" t="s">
        <v>153</v>
      </c>
      <c r="M22" s="6"/>
      <c r="N22" s="6"/>
      <c r="O22" s="14">
        <v>3000</v>
      </c>
      <c r="AA22" s="34"/>
      <c r="AB22" s="35"/>
      <c r="AC22" s="35"/>
      <c r="AD22" s="35"/>
      <c r="AE22" s="35"/>
      <c r="AF22" s="35"/>
      <c r="AG22" s="35"/>
    </row>
    <row r="23" spans="2:33" x14ac:dyDescent="0.2">
      <c r="B23" s="11" t="s">
        <v>57</v>
      </c>
      <c r="C23" s="7">
        <v>0.5</v>
      </c>
      <c r="D23" s="6"/>
      <c r="E23" s="6" t="s">
        <v>58</v>
      </c>
      <c r="L23" s="6" t="s">
        <v>154</v>
      </c>
      <c r="M23" s="6"/>
      <c r="N23" s="6"/>
      <c r="O23" s="14">
        <v>2000</v>
      </c>
    </row>
    <row r="24" spans="2:33" x14ac:dyDescent="0.2">
      <c r="B24" s="11" t="s">
        <v>59</v>
      </c>
      <c r="C24" s="6">
        <f>C22*C23+C22</f>
        <v>30</v>
      </c>
      <c r="D24" s="6" t="s">
        <v>54</v>
      </c>
      <c r="E24" s="6" t="s">
        <v>60</v>
      </c>
      <c r="L24" s="6" t="s">
        <v>155</v>
      </c>
      <c r="M24" s="6"/>
      <c r="N24" s="6"/>
      <c r="O24" s="14">
        <v>2000</v>
      </c>
    </row>
    <row r="25" spans="2:33" x14ac:dyDescent="0.2">
      <c r="L25" s="10" t="s">
        <v>156</v>
      </c>
      <c r="M25" s="11"/>
      <c r="N25" s="11"/>
      <c r="O25" s="16">
        <f>SUM(O22:O24)</f>
        <v>7000</v>
      </c>
    </row>
    <row r="26" spans="2:33" ht="19" x14ac:dyDescent="0.25">
      <c r="B26" s="12" t="s">
        <v>61</v>
      </c>
      <c r="L26" s="9" t="s">
        <v>6</v>
      </c>
      <c r="M26" s="6"/>
      <c r="N26" s="6"/>
      <c r="O26" s="9" t="s">
        <v>141</v>
      </c>
    </row>
    <row r="27" spans="2:33" x14ac:dyDescent="0.2">
      <c r="B27" s="10" t="s">
        <v>23</v>
      </c>
      <c r="C27" s="10" t="s">
        <v>2</v>
      </c>
      <c r="D27" s="10" t="s">
        <v>24</v>
      </c>
      <c r="E27" s="10" t="s">
        <v>39</v>
      </c>
      <c r="F27" s="2"/>
      <c r="L27" s="8" t="s">
        <v>158</v>
      </c>
      <c r="M27" s="8"/>
      <c r="N27" s="8"/>
      <c r="O27" s="17">
        <v>12000</v>
      </c>
    </row>
    <row r="28" spans="2:33" x14ac:dyDescent="0.2">
      <c r="B28" s="11" t="s">
        <v>21</v>
      </c>
      <c r="C28" s="6">
        <v>150</v>
      </c>
      <c r="D28" s="6" t="s">
        <v>62</v>
      </c>
      <c r="E28" s="6" t="s">
        <v>63</v>
      </c>
      <c r="L28" s="6"/>
      <c r="M28" s="6"/>
      <c r="N28" s="6"/>
      <c r="O28" s="6"/>
    </row>
    <row r="29" spans="2:33" ht="19" x14ac:dyDescent="0.25">
      <c r="B29" s="11" t="s">
        <v>64</v>
      </c>
      <c r="C29" s="14">
        <f>C28*12</f>
        <v>1800</v>
      </c>
      <c r="D29" s="6" t="s">
        <v>65</v>
      </c>
      <c r="E29" s="6" t="s">
        <v>66</v>
      </c>
      <c r="L29" s="18" t="s">
        <v>159</v>
      </c>
      <c r="M29" s="19"/>
      <c r="N29" s="19"/>
      <c r="O29" s="36">
        <f>SUM(O8+O15+O20+O25+O27)</f>
        <v>142440</v>
      </c>
    </row>
    <row r="30" spans="2:33" x14ac:dyDescent="0.2">
      <c r="B30" s="11" t="s">
        <v>67</v>
      </c>
      <c r="C30" s="6">
        <v>5</v>
      </c>
      <c r="D30" s="6" t="s">
        <v>51</v>
      </c>
      <c r="E30" s="6" t="s">
        <v>68</v>
      </c>
    </row>
    <row r="31" spans="2:33" ht="19" x14ac:dyDescent="0.25">
      <c r="B31" s="11" t="s">
        <v>69</v>
      </c>
      <c r="C31" s="6">
        <f>C28/5</f>
        <v>30</v>
      </c>
      <c r="D31" s="6" t="s">
        <v>70</v>
      </c>
      <c r="E31" s="6" t="s">
        <v>71</v>
      </c>
      <c r="L31" s="20" t="s">
        <v>170</v>
      </c>
    </row>
    <row r="32" spans="2:33" x14ac:dyDescent="0.2">
      <c r="B32" s="11" t="s">
        <v>72</v>
      </c>
      <c r="C32" s="6" t="s">
        <v>73</v>
      </c>
      <c r="D32" s="6" t="s">
        <v>74</v>
      </c>
      <c r="E32" s="6" t="s">
        <v>75</v>
      </c>
      <c r="L32" s="10" t="s">
        <v>1</v>
      </c>
      <c r="M32" s="10" t="s">
        <v>161</v>
      </c>
      <c r="N32" s="10" t="s">
        <v>162</v>
      </c>
      <c r="O32" s="10" t="s">
        <v>163</v>
      </c>
      <c r="P32" s="10" t="s">
        <v>164</v>
      </c>
      <c r="Q32" s="10" t="s">
        <v>165</v>
      </c>
      <c r="R32" s="10" t="s">
        <v>166</v>
      </c>
    </row>
    <row r="33" spans="2:18" x14ac:dyDescent="0.2">
      <c r="L33" s="11" t="s">
        <v>167</v>
      </c>
      <c r="M33" s="14">
        <f>O8</f>
        <v>110000</v>
      </c>
      <c r="N33" s="7">
        <v>0.03</v>
      </c>
      <c r="O33" s="14">
        <f>M33*(1+$N33)</f>
        <v>113300</v>
      </c>
      <c r="P33" s="14">
        <f>(1+$N33)*(O33)</f>
        <v>116699</v>
      </c>
      <c r="Q33" s="14">
        <f t="shared" ref="Q33:R33" si="3">(1+$N33)*(P33)</f>
        <v>120199.97</v>
      </c>
      <c r="R33" s="14">
        <f t="shared" si="3"/>
        <v>123805.9691</v>
      </c>
    </row>
    <row r="34" spans="2:18" ht="19" x14ac:dyDescent="0.25">
      <c r="B34" s="12" t="s">
        <v>76</v>
      </c>
      <c r="C34" s="3"/>
      <c r="L34" s="11" t="s">
        <v>35</v>
      </c>
      <c r="M34" s="14">
        <f>O15</f>
        <v>10440</v>
      </c>
      <c r="N34" s="7">
        <v>0.15</v>
      </c>
      <c r="O34" s="14">
        <f t="shared" ref="O34:O37" si="4">M34*(1+$N34)</f>
        <v>12005.999999999998</v>
      </c>
      <c r="P34" s="14">
        <f>(1+$N34)*(O34)</f>
        <v>13806.899999999996</v>
      </c>
      <c r="Q34" s="14">
        <f t="shared" ref="Q34:R34" si="5">(1+$N34)*(P34)</f>
        <v>15877.934999999994</v>
      </c>
      <c r="R34" s="14">
        <f t="shared" si="5"/>
        <v>18259.62524999999</v>
      </c>
    </row>
    <row r="35" spans="2:18" x14ac:dyDescent="0.2">
      <c r="B35" s="10" t="s">
        <v>23</v>
      </c>
      <c r="C35" s="10" t="s">
        <v>2</v>
      </c>
      <c r="D35" s="10" t="s">
        <v>24</v>
      </c>
      <c r="E35" s="10" t="s">
        <v>77</v>
      </c>
      <c r="F35" s="2"/>
      <c r="K35" s="2"/>
      <c r="L35" s="11" t="s">
        <v>152</v>
      </c>
      <c r="M35" s="14">
        <f>O20</f>
        <v>3000</v>
      </c>
      <c r="N35" s="7">
        <v>0.02</v>
      </c>
      <c r="O35" s="14">
        <f t="shared" si="4"/>
        <v>3060</v>
      </c>
      <c r="P35" s="14">
        <f t="shared" ref="P35:R37" si="6">(1+$N35)*(O35)</f>
        <v>3121.2000000000003</v>
      </c>
      <c r="Q35" s="14">
        <f t="shared" si="6"/>
        <v>3183.6240000000003</v>
      </c>
      <c r="R35" s="14">
        <f t="shared" si="6"/>
        <v>3247.2964800000004</v>
      </c>
    </row>
    <row r="36" spans="2:18" x14ac:dyDescent="0.2">
      <c r="B36" s="11" t="s">
        <v>9</v>
      </c>
      <c r="C36" s="14">
        <v>80000</v>
      </c>
      <c r="D36" s="6" t="s">
        <v>74</v>
      </c>
      <c r="E36" s="6" t="s">
        <v>78</v>
      </c>
      <c r="L36" s="11" t="s">
        <v>168</v>
      </c>
      <c r="M36" s="14">
        <f>O25</f>
        <v>7000</v>
      </c>
      <c r="N36" s="7">
        <v>0.02</v>
      </c>
      <c r="O36" s="14">
        <f t="shared" si="4"/>
        <v>7140</v>
      </c>
      <c r="P36" s="14">
        <f t="shared" si="6"/>
        <v>7282.8</v>
      </c>
      <c r="Q36" s="14">
        <f t="shared" si="6"/>
        <v>7428.4560000000001</v>
      </c>
      <c r="R36" s="14">
        <f t="shared" si="6"/>
        <v>7577.0251200000002</v>
      </c>
    </row>
    <row r="37" spans="2:18" x14ac:dyDescent="0.2">
      <c r="B37" s="11" t="s">
        <v>79</v>
      </c>
      <c r="C37" s="14">
        <v>15000</v>
      </c>
      <c r="D37" s="6" t="s">
        <v>74</v>
      </c>
      <c r="E37" s="6" t="s">
        <v>80</v>
      </c>
      <c r="L37" s="11" t="s">
        <v>6</v>
      </c>
      <c r="M37" s="14">
        <f>O27</f>
        <v>12000</v>
      </c>
      <c r="N37" s="7">
        <v>0.02</v>
      </c>
      <c r="O37" s="14">
        <f t="shared" si="4"/>
        <v>12240</v>
      </c>
      <c r="P37" s="14">
        <f t="shared" si="6"/>
        <v>12484.800000000001</v>
      </c>
      <c r="Q37" s="14">
        <f t="shared" si="6"/>
        <v>12734.496000000001</v>
      </c>
      <c r="R37" s="14">
        <f t="shared" si="6"/>
        <v>12989.185920000002</v>
      </c>
    </row>
    <row r="38" spans="2:18" x14ac:dyDescent="0.2">
      <c r="B38" s="11" t="s">
        <v>10</v>
      </c>
      <c r="C38" s="14">
        <v>5000</v>
      </c>
      <c r="D38" s="6" t="s">
        <v>74</v>
      </c>
      <c r="E38" s="6" t="s">
        <v>80</v>
      </c>
      <c r="L38" s="10" t="s">
        <v>169</v>
      </c>
      <c r="M38" s="16">
        <f>SUM(M33:M37)</f>
        <v>142440</v>
      </c>
      <c r="N38" s="16"/>
      <c r="O38" s="16">
        <f t="shared" ref="O38" si="7">SUM(O33:O37)</f>
        <v>147746</v>
      </c>
      <c r="P38" s="16">
        <f>SUM(P33:P37)</f>
        <v>153394.69999999998</v>
      </c>
      <c r="Q38" s="16">
        <f>SUM(Q33:Q37)</f>
        <v>159424.48100000003</v>
      </c>
      <c r="R38" s="16">
        <f>SUM(R33:R37)</f>
        <v>165879.10186999998</v>
      </c>
    </row>
    <row r="39" spans="2:18" x14ac:dyDescent="0.2">
      <c r="B39" s="11" t="s">
        <v>81</v>
      </c>
      <c r="C39" s="14">
        <v>7500</v>
      </c>
      <c r="D39" s="6" t="s">
        <v>74</v>
      </c>
      <c r="E39" s="6" t="s">
        <v>78</v>
      </c>
    </row>
    <row r="40" spans="2:18" x14ac:dyDescent="0.2">
      <c r="B40" s="11" t="s">
        <v>82</v>
      </c>
      <c r="C40" s="14">
        <v>6000</v>
      </c>
      <c r="D40" s="6" t="s">
        <v>74</v>
      </c>
      <c r="E40" s="6" t="s">
        <v>80</v>
      </c>
    </row>
    <row r="41" spans="2:18" ht="19" x14ac:dyDescent="0.25">
      <c r="B41" s="11" t="s">
        <v>11</v>
      </c>
      <c r="C41" s="14">
        <v>15000</v>
      </c>
      <c r="D41" s="6" t="s">
        <v>74</v>
      </c>
      <c r="E41" s="6" t="s">
        <v>80</v>
      </c>
      <c r="L41" s="12" t="s">
        <v>171</v>
      </c>
    </row>
    <row r="42" spans="2:18" x14ac:dyDescent="0.2">
      <c r="B42" s="11" t="s">
        <v>83</v>
      </c>
      <c r="C42" s="14">
        <v>25000</v>
      </c>
      <c r="D42" s="6" t="s">
        <v>74</v>
      </c>
      <c r="E42" s="6" t="s">
        <v>84</v>
      </c>
      <c r="L42" s="10" t="s">
        <v>23</v>
      </c>
      <c r="M42" s="10" t="s">
        <v>2</v>
      </c>
      <c r="N42" s="2"/>
      <c r="O42" s="2"/>
    </row>
    <row r="43" spans="2:18" x14ac:dyDescent="0.2">
      <c r="B43" s="8" t="s">
        <v>85</v>
      </c>
      <c r="C43" s="17">
        <f>SUM(C36:C42)</f>
        <v>153500</v>
      </c>
      <c r="D43" s="11" t="s">
        <v>74</v>
      </c>
      <c r="E43" s="6"/>
      <c r="L43" s="11" t="s">
        <v>172</v>
      </c>
      <c r="M43" s="21">
        <f>C53</f>
        <v>10</v>
      </c>
    </row>
    <row r="44" spans="2:18" ht="17" x14ac:dyDescent="0.25">
      <c r="C44" s="4"/>
      <c r="L44" s="11" t="s">
        <v>173</v>
      </c>
      <c r="M44" s="21">
        <f>M43*12</f>
        <v>120</v>
      </c>
    </row>
    <row r="45" spans="2:18" ht="19" x14ac:dyDescent="0.25">
      <c r="B45" s="12" t="s">
        <v>86</v>
      </c>
      <c r="L45" s="11" t="s">
        <v>174</v>
      </c>
      <c r="M45" s="23" t="s">
        <v>175</v>
      </c>
    </row>
    <row r="46" spans="2:18" x14ac:dyDescent="0.2">
      <c r="B46" s="10" t="s">
        <v>23</v>
      </c>
      <c r="C46" s="10" t="s">
        <v>2</v>
      </c>
      <c r="D46" s="10" t="s">
        <v>24</v>
      </c>
      <c r="E46" s="10" t="s">
        <v>77</v>
      </c>
    </row>
    <row r="47" spans="2:18" ht="19" x14ac:dyDescent="0.25">
      <c r="B47" s="11" t="s">
        <v>3</v>
      </c>
      <c r="C47" s="14">
        <v>110000</v>
      </c>
      <c r="D47" s="6" t="s">
        <v>65</v>
      </c>
      <c r="E47" s="6" t="s">
        <v>87</v>
      </c>
      <c r="L47" s="20" t="s">
        <v>180</v>
      </c>
    </row>
    <row r="48" spans="2:18" x14ac:dyDescent="0.2">
      <c r="B48" s="11" t="s">
        <v>4</v>
      </c>
      <c r="C48" s="14">
        <v>10440</v>
      </c>
      <c r="D48" s="6" t="s">
        <v>65</v>
      </c>
      <c r="E48" s="6" t="s">
        <v>88</v>
      </c>
      <c r="L48" s="10" t="s">
        <v>176</v>
      </c>
      <c r="M48" s="11">
        <v>1</v>
      </c>
      <c r="N48" s="11">
        <v>2</v>
      </c>
      <c r="O48" s="11">
        <v>3</v>
      </c>
      <c r="P48" s="11">
        <v>4</v>
      </c>
      <c r="Q48" s="11">
        <v>5</v>
      </c>
    </row>
    <row r="49" spans="2:17" x14ac:dyDescent="0.2">
      <c r="B49" s="11" t="s">
        <v>5</v>
      </c>
      <c r="C49" s="14">
        <v>3000</v>
      </c>
      <c r="D49" s="6" t="s">
        <v>65</v>
      </c>
      <c r="E49" s="6" t="s">
        <v>87</v>
      </c>
      <c r="L49" s="10" t="s">
        <v>177</v>
      </c>
      <c r="M49" s="6">
        <f>C18</f>
        <v>20</v>
      </c>
      <c r="N49" s="22">
        <f>M49*(1+$C$19)</f>
        <v>28</v>
      </c>
      <c r="O49" s="22">
        <f t="shared" ref="O49:Q49" si="8">N49*(1+$C$19)</f>
        <v>39.199999999999996</v>
      </c>
      <c r="P49" s="22">
        <f t="shared" si="8"/>
        <v>54.879999999999988</v>
      </c>
      <c r="Q49" s="22">
        <f t="shared" si="8"/>
        <v>76.831999999999979</v>
      </c>
    </row>
    <row r="50" spans="2:17" x14ac:dyDescent="0.2">
      <c r="B50" s="11" t="s">
        <v>89</v>
      </c>
      <c r="C50" s="14">
        <v>7000</v>
      </c>
      <c r="D50" s="6" t="s">
        <v>65</v>
      </c>
      <c r="E50" s="6" t="s">
        <v>87</v>
      </c>
      <c r="L50" s="10" t="s">
        <v>178</v>
      </c>
      <c r="M50" s="6">
        <v>120</v>
      </c>
      <c r="N50" s="6">
        <v>120</v>
      </c>
      <c r="O50" s="6">
        <v>120</v>
      </c>
      <c r="P50" s="6">
        <v>120</v>
      </c>
      <c r="Q50" s="6">
        <v>120</v>
      </c>
    </row>
    <row r="51" spans="2:17" x14ac:dyDescent="0.2">
      <c r="B51" s="11" t="s">
        <v>90</v>
      </c>
      <c r="C51" s="14">
        <v>12000</v>
      </c>
      <c r="D51" s="6" t="s">
        <v>65</v>
      </c>
      <c r="E51" s="6" t="s">
        <v>87</v>
      </c>
      <c r="L51" s="10" t="s">
        <v>179</v>
      </c>
      <c r="M51" s="8">
        <f>M49*M50</f>
        <v>2400</v>
      </c>
      <c r="N51" s="24">
        <f t="shared" ref="N51:Q51" si="9">N49*N50</f>
        <v>3360</v>
      </c>
      <c r="O51" s="24">
        <f t="shared" si="9"/>
        <v>4703.9999999999991</v>
      </c>
      <c r="P51" s="24">
        <f t="shared" si="9"/>
        <v>6585.5999999999985</v>
      </c>
      <c r="Q51" s="24">
        <f t="shared" si="9"/>
        <v>9219.8399999999983</v>
      </c>
    </row>
    <row r="52" spans="2:17" x14ac:dyDescent="0.2">
      <c r="B52" s="11"/>
      <c r="C52" s="14"/>
      <c r="D52" s="6"/>
      <c r="E52" s="6"/>
    </row>
    <row r="53" spans="2:17" x14ac:dyDescent="0.2">
      <c r="B53" s="11" t="s">
        <v>91</v>
      </c>
      <c r="C53" s="6">
        <v>10</v>
      </c>
      <c r="D53" s="6" t="s">
        <v>92</v>
      </c>
      <c r="E53" s="6" t="s">
        <v>93</v>
      </c>
      <c r="O53" s="13"/>
    </row>
    <row r="54" spans="2:17" x14ac:dyDescent="0.2">
      <c r="B54" s="11" t="s">
        <v>94</v>
      </c>
      <c r="C54" s="6">
        <v>120</v>
      </c>
      <c r="D54" s="6" t="s">
        <v>95</v>
      </c>
      <c r="E54" s="6" t="s">
        <v>93</v>
      </c>
      <c r="O54" s="13"/>
    </row>
    <row r="55" spans="2:17" x14ac:dyDescent="0.2">
      <c r="B55" s="11" t="s">
        <v>96</v>
      </c>
      <c r="C55" s="7">
        <v>0.03</v>
      </c>
      <c r="D55" s="6" t="s">
        <v>48</v>
      </c>
      <c r="E55" s="6" t="s">
        <v>97</v>
      </c>
      <c r="O55" s="13"/>
    </row>
    <row r="56" spans="2:17" x14ac:dyDescent="0.2">
      <c r="B56" s="11" t="s">
        <v>7</v>
      </c>
      <c r="C56" s="7">
        <v>0.15</v>
      </c>
      <c r="D56" s="6" t="s">
        <v>48</v>
      </c>
      <c r="E56" s="6" t="s">
        <v>98</v>
      </c>
      <c r="O56" s="13"/>
    </row>
    <row r="57" spans="2:17" x14ac:dyDescent="0.2">
      <c r="B57" s="11" t="s">
        <v>8</v>
      </c>
      <c r="C57" s="7">
        <v>0.02</v>
      </c>
      <c r="D57" s="6" t="s">
        <v>48</v>
      </c>
      <c r="E57" s="6" t="s">
        <v>99</v>
      </c>
      <c r="O57" s="13"/>
    </row>
    <row r="59" spans="2:17" ht="19" x14ac:dyDescent="0.25">
      <c r="B59" s="12" t="s">
        <v>100</v>
      </c>
    </row>
    <row r="60" spans="2:17" x14ac:dyDescent="0.2">
      <c r="B60" s="10" t="s">
        <v>23</v>
      </c>
      <c r="C60" s="10" t="s">
        <v>2</v>
      </c>
      <c r="D60" s="10" t="s">
        <v>24</v>
      </c>
      <c r="E60" s="10" t="s">
        <v>77</v>
      </c>
      <c r="F60" s="6"/>
      <c r="H60" s="2"/>
    </row>
    <row r="61" spans="2:17" x14ac:dyDescent="0.2">
      <c r="B61" s="11" t="s">
        <v>101</v>
      </c>
      <c r="C61" s="27">
        <v>0.25</v>
      </c>
      <c r="D61" s="28"/>
      <c r="E61" s="28" t="s">
        <v>102</v>
      </c>
      <c r="F61" s="6"/>
    </row>
    <row r="62" spans="2:17" x14ac:dyDescent="0.2">
      <c r="B62" s="11" t="s">
        <v>13</v>
      </c>
      <c r="C62" s="25">
        <v>5</v>
      </c>
      <c r="D62" s="6" t="s">
        <v>26</v>
      </c>
      <c r="E62" s="6" t="s">
        <v>103</v>
      </c>
      <c r="F62" s="6"/>
    </row>
    <row r="63" spans="2:17" x14ac:dyDescent="0.2">
      <c r="B63" s="11" t="s">
        <v>104</v>
      </c>
      <c r="C63" s="26">
        <f>C36/C62</f>
        <v>16000</v>
      </c>
      <c r="D63" s="6" t="s">
        <v>65</v>
      </c>
      <c r="E63" s="6"/>
      <c r="F63" s="6" t="s">
        <v>105</v>
      </c>
    </row>
    <row r="64" spans="2:17" x14ac:dyDescent="0.2">
      <c r="B64" s="11" t="s">
        <v>14</v>
      </c>
      <c r="C64" s="25">
        <v>4</v>
      </c>
      <c r="D64" s="6" t="s">
        <v>26</v>
      </c>
      <c r="E64" s="6" t="s">
        <v>103</v>
      </c>
      <c r="F64" s="6"/>
    </row>
    <row r="65" spans="2:6" x14ac:dyDescent="0.2">
      <c r="B65" s="11" t="s">
        <v>106</v>
      </c>
      <c r="C65" s="26">
        <f>C39/C64</f>
        <v>1875</v>
      </c>
      <c r="D65" s="6" t="s">
        <v>65</v>
      </c>
      <c r="E65" s="6"/>
      <c r="F65" s="6" t="s">
        <v>107</v>
      </c>
    </row>
    <row r="66" spans="2:6" x14ac:dyDescent="0.2">
      <c r="B66" s="11" t="s">
        <v>108</v>
      </c>
      <c r="C66" s="26">
        <f>C65+C63</f>
        <v>17875</v>
      </c>
      <c r="D66" s="6" t="s">
        <v>65</v>
      </c>
      <c r="E66" s="6" t="s">
        <v>110</v>
      </c>
      <c r="F66" s="6" t="s">
        <v>109</v>
      </c>
    </row>
    <row r="67" spans="2:6" x14ac:dyDescent="0.2">
      <c r="B67" s="11" t="s">
        <v>111</v>
      </c>
      <c r="C67" s="26">
        <f>C42</f>
        <v>25000</v>
      </c>
      <c r="D67" s="6" t="s">
        <v>74</v>
      </c>
      <c r="E67" s="6" t="s">
        <v>112</v>
      </c>
      <c r="F67" s="6"/>
    </row>
    <row r="68" spans="2:6" x14ac:dyDescent="0.2">
      <c r="B68" s="11" t="s">
        <v>16</v>
      </c>
      <c r="C68" s="26">
        <v>1500</v>
      </c>
      <c r="D68" s="6" t="s">
        <v>74</v>
      </c>
      <c r="E68" s="6" t="s">
        <v>112</v>
      </c>
      <c r="F68" s="6" t="s">
        <v>113</v>
      </c>
    </row>
    <row r="70" spans="2:6" ht="19" x14ac:dyDescent="0.25">
      <c r="B70" s="12" t="s">
        <v>114</v>
      </c>
    </row>
    <row r="71" spans="2:6" x14ac:dyDescent="0.2">
      <c r="B71" s="10" t="s">
        <v>23</v>
      </c>
      <c r="C71" s="10" t="s">
        <v>2</v>
      </c>
      <c r="D71" s="9"/>
      <c r="F71" s="2"/>
    </row>
    <row r="72" spans="2:6" x14ac:dyDescent="0.2">
      <c r="B72" s="11" t="s">
        <v>12</v>
      </c>
      <c r="C72" s="14">
        <f>C43</f>
        <v>153500</v>
      </c>
      <c r="D72" s="6"/>
    </row>
    <row r="73" spans="2:6" x14ac:dyDescent="0.2">
      <c r="B73" s="11" t="s">
        <v>18</v>
      </c>
      <c r="C73" s="14">
        <f>C72*C74</f>
        <v>61400</v>
      </c>
      <c r="D73" s="6" t="s">
        <v>115</v>
      </c>
    </row>
    <row r="74" spans="2:6" x14ac:dyDescent="0.2">
      <c r="B74" s="11" t="s">
        <v>116</v>
      </c>
      <c r="C74" s="7">
        <v>0.4</v>
      </c>
      <c r="D74" s="6"/>
    </row>
    <row r="75" spans="2:6" x14ac:dyDescent="0.2">
      <c r="B75" s="11" t="s">
        <v>117</v>
      </c>
      <c r="C75" s="14">
        <f>C72-C73</f>
        <v>92100</v>
      </c>
      <c r="D75" s="6" t="s">
        <v>118</v>
      </c>
    </row>
    <row r="76" spans="2:6" x14ac:dyDescent="0.2">
      <c r="B76" s="11" t="s">
        <v>119</v>
      </c>
      <c r="C76" s="7">
        <v>0.6</v>
      </c>
      <c r="D76" s="6"/>
    </row>
    <row r="77" spans="2:6" x14ac:dyDescent="0.2">
      <c r="B77" s="11" t="s">
        <v>120</v>
      </c>
      <c r="C77" s="7">
        <v>0.05</v>
      </c>
      <c r="D77" s="6"/>
    </row>
    <row r="78" spans="2:6" x14ac:dyDescent="0.2">
      <c r="B78" s="11" t="s">
        <v>20</v>
      </c>
      <c r="C78" s="6">
        <v>5</v>
      </c>
      <c r="D78" s="6"/>
    </row>
    <row r="79" spans="2:6" x14ac:dyDescent="0.2">
      <c r="B79" s="11" t="s">
        <v>121</v>
      </c>
      <c r="C79" s="6" t="s">
        <v>122</v>
      </c>
      <c r="D79" s="6"/>
    </row>
    <row r="80" spans="2:6" x14ac:dyDescent="0.2">
      <c r="B80" s="11" t="s">
        <v>230</v>
      </c>
      <c r="C80" s="15">
        <v>0.12</v>
      </c>
      <c r="D80" s="6"/>
    </row>
    <row r="81" spans="2:35" x14ac:dyDescent="0.2">
      <c r="B81" s="11" t="s">
        <v>223</v>
      </c>
      <c r="C81" s="15">
        <f>(1 + C80) / (1 + C82) - 1</f>
        <v>8.7378640776699212E-2</v>
      </c>
      <c r="D81" s="6"/>
    </row>
    <row r="82" spans="2:35" x14ac:dyDescent="0.2">
      <c r="B82" s="11" t="s">
        <v>224</v>
      </c>
      <c r="C82" s="15">
        <v>0.03</v>
      </c>
      <c r="D82" s="6"/>
    </row>
    <row r="83" spans="2:35" x14ac:dyDescent="0.2">
      <c r="B83" s="11" t="s">
        <v>225</v>
      </c>
      <c r="C83" s="15">
        <v>0.05</v>
      </c>
      <c r="D83" s="6"/>
    </row>
    <row r="84" spans="2:35" x14ac:dyDescent="0.2">
      <c r="B84" s="11" t="s">
        <v>226</v>
      </c>
      <c r="C84" s="15">
        <v>3.7499999999999999E-2</v>
      </c>
      <c r="D84" s="6" t="s">
        <v>123</v>
      </c>
    </row>
    <row r="85" spans="2:35" x14ac:dyDescent="0.2">
      <c r="B85" s="61" t="s">
        <v>227</v>
      </c>
      <c r="C85" s="15">
        <f>(1 + C83) / (1 + C82) - 1</f>
        <v>1.9417475728155331E-2</v>
      </c>
      <c r="D85" s="6"/>
    </row>
    <row r="86" spans="2:35" x14ac:dyDescent="0.2">
      <c r="B86" s="11" t="s">
        <v>228</v>
      </c>
      <c r="C86" s="15">
        <f>C85 * (1 - C82)</f>
        <v>1.8834951456310672E-2</v>
      </c>
      <c r="D86" s="6"/>
    </row>
    <row r="87" spans="2:35" x14ac:dyDescent="0.2">
      <c r="B87" s="11" t="s">
        <v>229</v>
      </c>
      <c r="C87" s="15">
        <f>40% * 8.74 % + 60% * 1.94 % * 75 %</f>
        <v>4.3690000000000007E-2</v>
      </c>
      <c r="D87" s="6" t="s">
        <v>124</v>
      </c>
    </row>
    <row r="88" spans="2:35" x14ac:dyDescent="0.2">
      <c r="B88" s="49"/>
      <c r="C88" s="44"/>
      <c r="D88" s="45"/>
    </row>
    <row r="90" spans="2:35" x14ac:dyDescent="0.2"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40"/>
    </row>
    <row r="91" spans="2:35" x14ac:dyDescent="0.2"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3"/>
    </row>
    <row r="94" spans="2:35" ht="22" x14ac:dyDescent="0.3">
      <c r="B94" s="46" t="s">
        <v>198</v>
      </c>
      <c r="C94" s="46"/>
      <c r="D94" s="46"/>
      <c r="E94" s="46"/>
    </row>
    <row r="96" spans="2:35" x14ac:dyDescent="0.2">
      <c r="B96" s="47"/>
      <c r="C96" s="52">
        <v>0</v>
      </c>
      <c r="D96" s="53">
        <v>1</v>
      </c>
      <c r="E96" s="53">
        <v>2</v>
      </c>
      <c r="F96" s="53">
        <v>3</v>
      </c>
      <c r="G96" s="53">
        <v>4</v>
      </c>
      <c r="H96" s="47">
        <v>5</v>
      </c>
    </row>
    <row r="97" spans="2:9" x14ac:dyDescent="0.2">
      <c r="B97" s="8" t="s">
        <v>203</v>
      </c>
      <c r="C97" s="6"/>
      <c r="D97" s="6">
        <f>U8</f>
        <v>36000</v>
      </c>
      <c r="E97" s="6">
        <f>V8</f>
        <v>50400</v>
      </c>
      <c r="F97" s="6">
        <f>W8</f>
        <v>70559.999999999985</v>
      </c>
      <c r="G97" s="6">
        <f>X8</f>
        <v>98783.999999999971</v>
      </c>
      <c r="H97" s="6">
        <f>Y8</f>
        <v>138297.59999999998</v>
      </c>
      <c r="I97" s="45"/>
    </row>
    <row r="98" spans="2:9" x14ac:dyDescent="0.2">
      <c r="B98" s="8" t="s">
        <v>204</v>
      </c>
      <c r="C98" s="6"/>
      <c r="D98" s="6">
        <f>D99+D100</f>
        <v>144840</v>
      </c>
      <c r="E98" s="6">
        <f t="shared" ref="E98:H98" si="10">E99+E100</f>
        <v>151106</v>
      </c>
      <c r="F98" s="6">
        <f t="shared" si="10"/>
        <v>158098.69999999998</v>
      </c>
      <c r="G98" s="6">
        <f t="shared" si="10"/>
        <v>166010.08100000003</v>
      </c>
      <c r="H98" s="6">
        <f t="shared" si="10"/>
        <v>175098.94186999998</v>
      </c>
      <c r="I98" s="45"/>
    </row>
    <row r="99" spans="2:9" x14ac:dyDescent="0.2">
      <c r="B99" s="11" t="s">
        <v>205</v>
      </c>
      <c r="C99" s="6"/>
      <c r="D99" s="14">
        <f>M38</f>
        <v>142440</v>
      </c>
      <c r="E99" s="14">
        <f>O38</f>
        <v>147746</v>
      </c>
      <c r="F99" s="14">
        <f>P38</f>
        <v>153394.69999999998</v>
      </c>
      <c r="G99" s="14">
        <f>Q38</f>
        <v>159424.48100000003</v>
      </c>
      <c r="H99" s="14">
        <f>R38</f>
        <v>165879.10186999998</v>
      </c>
      <c r="I99" s="45"/>
    </row>
    <row r="100" spans="2:9" x14ac:dyDescent="0.2">
      <c r="B100" s="11" t="s">
        <v>206</v>
      </c>
      <c r="C100" s="6"/>
      <c r="D100" s="6">
        <f>M51</f>
        <v>2400</v>
      </c>
      <c r="E100" s="6">
        <f>N51</f>
        <v>3360</v>
      </c>
      <c r="F100" s="6">
        <f>O51</f>
        <v>4703.9999999999991</v>
      </c>
      <c r="G100" s="6">
        <f>P51</f>
        <v>6585.5999999999985</v>
      </c>
      <c r="H100" s="6">
        <f>Q51</f>
        <v>9219.8399999999983</v>
      </c>
      <c r="I100" s="45"/>
    </row>
    <row r="101" spans="2:9" x14ac:dyDescent="0.2">
      <c r="B101" s="11" t="s">
        <v>207</v>
      </c>
      <c r="C101" s="6"/>
      <c r="D101" s="14">
        <f>$C$66</f>
        <v>17875</v>
      </c>
      <c r="E101" s="14">
        <f t="shared" ref="E101:H101" si="11">$C$66</f>
        <v>17875</v>
      </c>
      <c r="F101" s="14">
        <f t="shared" si="11"/>
        <v>17875</v>
      </c>
      <c r="G101" s="14">
        <f t="shared" si="11"/>
        <v>17875</v>
      </c>
      <c r="H101" s="14">
        <f t="shared" si="11"/>
        <v>17875</v>
      </c>
      <c r="I101" s="45"/>
    </row>
    <row r="102" spans="2:9" x14ac:dyDescent="0.2">
      <c r="B102" s="11"/>
      <c r="C102" s="6"/>
      <c r="D102" s="6"/>
      <c r="E102" s="6"/>
      <c r="F102" s="6"/>
      <c r="G102" s="6"/>
      <c r="H102" s="6"/>
      <c r="I102" s="45"/>
    </row>
    <row r="103" spans="2:9" x14ac:dyDescent="0.2">
      <c r="B103" s="8" t="s">
        <v>208</v>
      </c>
      <c r="C103" s="6"/>
      <c r="D103" s="14">
        <f>D97-D98-D101</f>
        <v>-126715</v>
      </c>
      <c r="E103" s="14">
        <f t="shared" ref="E103:H103" si="12">E97-E98-E101</f>
        <v>-118581</v>
      </c>
      <c r="F103" s="14">
        <f t="shared" si="12"/>
        <v>-105413.7</v>
      </c>
      <c r="G103" s="14">
        <f t="shared" si="12"/>
        <v>-85101.081000000064</v>
      </c>
      <c r="H103" s="14">
        <f t="shared" si="12"/>
        <v>-54676.341870000004</v>
      </c>
      <c r="I103" s="45"/>
    </row>
    <row r="104" spans="2:9" x14ac:dyDescent="0.2">
      <c r="B104" s="11" t="s">
        <v>17</v>
      </c>
      <c r="C104" s="6"/>
      <c r="D104" s="48" t="s">
        <v>212</v>
      </c>
      <c r="E104" s="48" t="s">
        <v>212</v>
      </c>
      <c r="F104" s="48" t="s">
        <v>212</v>
      </c>
      <c r="G104" s="48" t="s">
        <v>212</v>
      </c>
      <c r="H104" s="48" t="s">
        <v>212</v>
      </c>
      <c r="I104" s="45"/>
    </row>
    <row r="105" spans="2:9" x14ac:dyDescent="0.2">
      <c r="B105" s="8" t="s">
        <v>209</v>
      </c>
      <c r="C105" s="6"/>
      <c r="D105" s="14">
        <f>D103</f>
        <v>-126715</v>
      </c>
      <c r="E105" s="14">
        <f t="shared" ref="E105:H105" si="13">E103</f>
        <v>-118581</v>
      </c>
      <c r="F105" s="14">
        <f t="shared" si="13"/>
        <v>-105413.7</v>
      </c>
      <c r="G105" s="14">
        <f t="shared" si="13"/>
        <v>-85101.081000000064</v>
      </c>
      <c r="H105" s="14">
        <f t="shared" si="13"/>
        <v>-54676.341870000004</v>
      </c>
      <c r="I105" s="45"/>
    </row>
    <row r="106" spans="2:9" x14ac:dyDescent="0.2">
      <c r="B106" s="11"/>
      <c r="C106" s="6"/>
      <c r="D106" s="6"/>
      <c r="E106" s="6"/>
      <c r="F106" s="6"/>
      <c r="G106" s="6"/>
      <c r="H106" s="6"/>
      <c r="I106" s="45"/>
    </row>
    <row r="107" spans="2:9" x14ac:dyDescent="0.2">
      <c r="B107" s="11" t="s">
        <v>210</v>
      </c>
      <c r="C107" s="6"/>
      <c r="D107" s="14">
        <f>D101</f>
        <v>17875</v>
      </c>
      <c r="E107" s="14">
        <f t="shared" ref="E107:H107" si="14">E101</f>
        <v>17875</v>
      </c>
      <c r="F107" s="14">
        <f t="shared" si="14"/>
        <v>17875</v>
      </c>
      <c r="G107" s="14">
        <f t="shared" si="14"/>
        <v>17875</v>
      </c>
      <c r="H107" s="14">
        <f t="shared" si="14"/>
        <v>17875</v>
      </c>
      <c r="I107" s="45"/>
    </row>
    <row r="108" spans="2:9" x14ac:dyDescent="0.2">
      <c r="B108" s="11"/>
      <c r="C108" s="6"/>
      <c r="D108" s="6"/>
      <c r="E108" s="6"/>
      <c r="F108" s="6"/>
      <c r="G108" s="6"/>
      <c r="H108" s="6"/>
      <c r="I108" s="45"/>
    </row>
    <row r="109" spans="2:9" x14ac:dyDescent="0.2">
      <c r="B109" s="8" t="s">
        <v>211</v>
      </c>
      <c r="C109" s="14">
        <f>C72</f>
        <v>153500</v>
      </c>
      <c r="D109" s="6"/>
      <c r="E109" s="6"/>
      <c r="F109" s="6"/>
      <c r="G109" s="6"/>
      <c r="H109" s="6"/>
      <c r="I109" s="45"/>
    </row>
    <row r="110" spans="2:9" x14ac:dyDescent="0.2">
      <c r="B110" s="8" t="s">
        <v>111</v>
      </c>
      <c r="C110" s="6"/>
      <c r="D110" s="6"/>
      <c r="E110" s="6"/>
      <c r="F110" s="6"/>
      <c r="G110" s="6"/>
      <c r="H110" s="14">
        <f>C67</f>
        <v>25000</v>
      </c>
      <c r="I110" s="45"/>
    </row>
    <row r="111" spans="2:9" x14ac:dyDescent="0.2">
      <c r="B111" s="8" t="s">
        <v>16</v>
      </c>
      <c r="C111" s="6"/>
      <c r="D111" s="6"/>
      <c r="E111" s="6"/>
      <c r="F111" s="6"/>
      <c r="G111" s="6"/>
      <c r="H111" s="14">
        <f>C68</f>
        <v>1500</v>
      </c>
      <c r="I111" s="45"/>
    </row>
    <row r="112" spans="2:9" x14ac:dyDescent="0.2">
      <c r="B112" s="11"/>
      <c r="C112" s="6"/>
      <c r="D112" s="6"/>
      <c r="E112" s="6"/>
      <c r="F112" s="6"/>
      <c r="G112" s="6"/>
      <c r="H112" s="6"/>
      <c r="I112" s="45"/>
    </row>
    <row r="113" spans="2:9" x14ac:dyDescent="0.2">
      <c r="B113" s="8" t="s">
        <v>198</v>
      </c>
      <c r="C113" s="17">
        <f>-$C$109</f>
        <v>-153500</v>
      </c>
      <c r="D113" s="17">
        <f>$D$105+$D$107</f>
        <v>-108840</v>
      </c>
      <c r="E113" s="17">
        <f>$E$105+$E$107</f>
        <v>-100706</v>
      </c>
      <c r="F113" s="17">
        <f>$F$105+$F$107</f>
        <v>-87538.7</v>
      </c>
      <c r="G113" s="17">
        <f>$G$105+$G$107</f>
        <v>-67226.081000000064</v>
      </c>
      <c r="H113" s="17">
        <f>$H$105+$H$107+$H$110+$H$111</f>
        <v>-10301.341870000004</v>
      </c>
      <c r="I113" s="45"/>
    </row>
    <row r="114" spans="2:9" x14ac:dyDescent="0.2">
      <c r="B114" s="11" t="s">
        <v>213</v>
      </c>
      <c r="C114" s="15">
        <f>C81</f>
        <v>8.7378640776699212E-2</v>
      </c>
      <c r="D114" s="50">
        <f>(1+$C$114)^D96</f>
        <v>1.0873786407766992</v>
      </c>
      <c r="E114" s="50">
        <f>(1+$C$114)^E96</f>
        <v>1.182392308417382</v>
      </c>
      <c r="F114" s="50">
        <f>(1+$C$114)^F96</f>
        <v>1.2857081411917166</v>
      </c>
      <c r="G114" s="50">
        <f>(1+$C$114)^G96</f>
        <v>1.3980515710045853</v>
      </c>
      <c r="H114" s="50">
        <f>(1+$C$114)^H96</f>
        <v>1.520211417014695</v>
      </c>
      <c r="I114" s="45"/>
    </row>
    <row r="115" spans="2:9" x14ac:dyDescent="0.2">
      <c r="B115" s="11" t="s">
        <v>214</v>
      </c>
      <c r="C115" s="14">
        <f>C113</f>
        <v>-153500</v>
      </c>
      <c r="D115" s="29">
        <f>D113/D114</f>
        <v>-100093.92857142855</v>
      </c>
      <c r="E115" s="29">
        <f>E113/E114</f>
        <v>-85171.393016581598</v>
      </c>
      <c r="F115" s="29">
        <f>F113/F114</f>
        <v>-68085.980943436196</v>
      </c>
      <c r="G115" s="29">
        <f>G113/G114</f>
        <v>-48085.551630755668</v>
      </c>
      <c r="H115" s="29">
        <f>H113/H114</f>
        <v>-6776.2560882677717</v>
      </c>
      <c r="I115" s="45"/>
    </row>
    <row r="116" spans="2:9" x14ac:dyDescent="0.2">
      <c r="B116" s="8" t="s">
        <v>199</v>
      </c>
      <c r="C116" s="14">
        <f>C115</f>
        <v>-153500</v>
      </c>
      <c r="D116" s="51">
        <f>C116+D115</f>
        <v>-253593.92857142855</v>
      </c>
      <c r="E116" s="51">
        <f t="shared" ref="E116:H116" si="15">D116+E115</f>
        <v>-338765.32158801018</v>
      </c>
      <c r="F116" s="51">
        <f t="shared" si="15"/>
        <v>-406851.30253144639</v>
      </c>
      <c r="G116" s="51">
        <f t="shared" si="15"/>
        <v>-454936.85416220204</v>
      </c>
      <c r="H116" s="51">
        <f t="shared" si="15"/>
        <v>-461713.11025046982</v>
      </c>
      <c r="I116" s="45"/>
    </row>
    <row r="117" spans="2:9" x14ac:dyDescent="0.2">
      <c r="B117" s="8" t="s">
        <v>200</v>
      </c>
      <c r="C117" s="17">
        <f>NPV(C81,D113:H113)+C113</f>
        <v>-461713.11025046982</v>
      </c>
      <c r="D117" s="6"/>
      <c r="E117" s="6"/>
      <c r="F117" s="6"/>
      <c r="G117" s="6"/>
      <c r="H117" s="6"/>
      <c r="I117" s="45"/>
    </row>
    <row r="118" spans="2:9" x14ac:dyDescent="0.2">
      <c r="B118" s="8" t="s">
        <v>201</v>
      </c>
      <c r="C118" s="7" t="e">
        <f>IRR(C113:H113)</f>
        <v>#NUM!</v>
      </c>
      <c r="D118" s="6"/>
      <c r="E118" s="6"/>
      <c r="F118" s="6"/>
      <c r="G118" s="6"/>
      <c r="H118" s="6"/>
    </row>
    <row r="119" spans="2:9" x14ac:dyDescent="0.2">
      <c r="B119" s="8" t="s">
        <v>202</v>
      </c>
      <c r="C119" s="31">
        <f>PMT(C114,H96,C117)</f>
        <v>117896.68711040237</v>
      </c>
      <c r="D119" s="6"/>
      <c r="E119" s="6"/>
      <c r="F119" s="6"/>
      <c r="G119" s="6"/>
      <c r="H119" s="6"/>
    </row>
    <row r="122" spans="2:9" ht="22" x14ac:dyDescent="0.3">
      <c r="B122" s="46" t="s">
        <v>215</v>
      </c>
      <c r="C122" s="46"/>
      <c r="D122" s="46"/>
      <c r="E122" s="46"/>
    </row>
    <row r="124" spans="2:9" x14ac:dyDescent="0.2">
      <c r="B124" s="47"/>
      <c r="C124" s="52">
        <v>0</v>
      </c>
      <c r="D124" s="53">
        <v>1</v>
      </c>
      <c r="E124" s="53">
        <v>2</v>
      </c>
      <c r="F124" s="53">
        <v>3</v>
      </c>
      <c r="G124" s="53">
        <v>4</v>
      </c>
      <c r="H124" s="47">
        <v>5</v>
      </c>
    </row>
    <row r="125" spans="2:9" x14ac:dyDescent="0.2">
      <c r="B125" s="54" t="s">
        <v>198</v>
      </c>
      <c r="C125" s="55">
        <f>-$C$109</f>
        <v>-153500</v>
      </c>
      <c r="D125" s="55">
        <f>$D$105+$D$107</f>
        <v>-108840</v>
      </c>
      <c r="E125" s="55">
        <f>$E$105+$E$107</f>
        <v>-100706</v>
      </c>
      <c r="F125" s="55">
        <f>$F$105+$F$107</f>
        <v>-87538.7</v>
      </c>
      <c r="G125" s="55">
        <f>$G$105+$G$107</f>
        <v>-67226.081000000064</v>
      </c>
      <c r="H125" s="55">
        <f>$H$105+$H$107+$H$110+$H$111</f>
        <v>-10301.341870000004</v>
      </c>
    </row>
    <row r="126" spans="2:9" x14ac:dyDescent="0.2">
      <c r="B126" s="11" t="s">
        <v>19</v>
      </c>
      <c r="C126" s="29">
        <f>AD6</f>
        <v>92100</v>
      </c>
      <c r="D126" s="29">
        <f>-AI6</f>
        <v>-20121.528907613494</v>
      </c>
      <c r="E126" s="29">
        <f>-AI7</f>
        <v>-20329.87614395866</v>
      </c>
      <c r="F126" s="29">
        <f>-AI8</f>
        <v>-20548.64074212109</v>
      </c>
      <c r="G126" s="29">
        <f>-AI9</f>
        <v>-20778.343570191639</v>
      </c>
      <c r="H126" s="29">
        <f>-AI10</f>
        <v>-21019.531539665713</v>
      </c>
    </row>
    <row r="127" spans="2:9" x14ac:dyDescent="0.2">
      <c r="B127" s="8" t="s">
        <v>215</v>
      </c>
      <c r="C127" s="51">
        <f>C125+C126</f>
        <v>-61400</v>
      </c>
      <c r="D127" s="51">
        <f t="shared" ref="D127:H127" si="16">D125+D126</f>
        <v>-128961.52890761349</v>
      </c>
      <c r="E127" s="51">
        <f t="shared" si="16"/>
        <v>-121035.87614395865</v>
      </c>
      <c r="F127" s="51">
        <f t="shared" si="16"/>
        <v>-108087.34074212109</v>
      </c>
      <c r="G127" s="51">
        <f t="shared" si="16"/>
        <v>-88004.42457019171</v>
      </c>
      <c r="H127" s="51">
        <f t="shared" si="16"/>
        <v>-31320.873409665717</v>
      </c>
    </row>
    <row r="128" spans="2:9" x14ac:dyDescent="0.2">
      <c r="B128" s="8" t="s">
        <v>200</v>
      </c>
      <c r="C128" s="56">
        <f>NPV(C87,D127:H127)+C127</f>
        <v>-490611.22946958977</v>
      </c>
      <c r="D128" s="6"/>
      <c r="E128" s="6"/>
      <c r="F128" s="6"/>
      <c r="G128" s="6"/>
      <c r="H128" s="6"/>
    </row>
    <row r="129" spans="2:8" x14ac:dyDescent="0.2">
      <c r="B129" s="8" t="s">
        <v>201</v>
      </c>
      <c r="C129" s="7" t="e">
        <f>IRR(C127:H127)</f>
        <v>#NUM!</v>
      </c>
      <c r="D129" s="6"/>
      <c r="E129" s="6"/>
      <c r="F129" s="6"/>
      <c r="G129" s="6"/>
      <c r="H129" s="6"/>
    </row>
    <row r="132" spans="2:8" ht="22" x14ac:dyDescent="0.3">
      <c r="B132" s="46" t="s">
        <v>219</v>
      </c>
      <c r="C132" s="46"/>
      <c r="D132" s="46"/>
      <c r="E132" s="46"/>
    </row>
    <row r="134" spans="2:8" x14ac:dyDescent="0.2">
      <c r="B134" s="8"/>
      <c r="C134" s="8" t="s">
        <v>218</v>
      </c>
      <c r="D134" s="8" t="s">
        <v>200</v>
      </c>
    </row>
    <row r="135" spans="2:8" x14ac:dyDescent="0.2">
      <c r="B135" s="54">
        <v>0.5</v>
      </c>
      <c r="C135" s="62">
        <f t="shared" ref="C135:C143" si="17">B135*$C$145</f>
        <v>4.3689320388349606E-2</v>
      </c>
      <c r="D135" s="57">
        <f>NPV(C135,$D$113:$H$113)+$C$113</f>
        <v>-492209.66408644168</v>
      </c>
    </row>
    <row r="136" spans="2:8" x14ac:dyDescent="0.2">
      <c r="B136" s="54">
        <v>0.55000000000000004</v>
      </c>
      <c r="C136" s="62">
        <f t="shared" si="17"/>
        <v>4.8058252427184568E-2</v>
      </c>
      <c r="D136" s="57">
        <f>NPV(C136,$D$113:$H$113)+$C$113</f>
        <v>-488936.0732028585</v>
      </c>
    </row>
    <row r="137" spans="2:8" x14ac:dyDescent="0.2">
      <c r="B137" s="54">
        <v>0.6</v>
      </c>
      <c r="C137" s="62">
        <f t="shared" si="17"/>
        <v>5.2427184466019523E-2</v>
      </c>
      <c r="D137" s="57">
        <f>NPV(C137,$D$113:$H$113)+$C$113</f>
        <v>-485715.12089735427</v>
      </c>
    </row>
    <row r="138" spans="2:8" x14ac:dyDescent="0.2">
      <c r="B138" s="54">
        <v>0.65</v>
      </c>
      <c r="C138" s="62">
        <f t="shared" si="17"/>
        <v>5.6796116504854492E-2</v>
      </c>
      <c r="D138" s="57">
        <f>NPV(C138,$D$113:$H$113)+$C$113</f>
        <v>-482545.67895182117</v>
      </c>
    </row>
    <row r="139" spans="2:8" x14ac:dyDescent="0.2">
      <c r="B139" s="54">
        <v>0.7</v>
      </c>
      <c r="C139" s="62">
        <f t="shared" si="17"/>
        <v>6.1165048543689447E-2</v>
      </c>
      <c r="D139" s="57">
        <f>NPV(C139,$D$113:$H$113)+$C$113</f>
        <v>-479426.64881140686</v>
      </c>
    </row>
    <row r="140" spans="2:8" x14ac:dyDescent="0.2">
      <c r="B140" s="54">
        <v>0.75</v>
      </c>
      <c r="C140" s="62">
        <f t="shared" si="17"/>
        <v>6.5533980582524409E-2</v>
      </c>
      <c r="D140" s="57">
        <f>NPV(C140,$D$113:$H$113)+$C$113</f>
        <v>-476356.9606688206</v>
      </c>
    </row>
    <row r="141" spans="2:8" x14ac:dyDescent="0.2">
      <c r="B141" s="54">
        <v>0.8</v>
      </c>
      <c r="C141" s="62">
        <f t="shared" si="17"/>
        <v>6.9902912621359378E-2</v>
      </c>
      <c r="D141" s="57">
        <f>NPV(C141,$D$113:$H$113)+$C$113</f>
        <v>-473335.57258092996</v>
      </c>
    </row>
    <row r="142" spans="2:8" x14ac:dyDescent="0.2">
      <c r="B142" s="54">
        <v>0.85</v>
      </c>
      <c r="C142" s="62">
        <f t="shared" si="17"/>
        <v>7.4271844660194333E-2</v>
      </c>
      <c r="D142" s="57">
        <f>NPV(C142,$D$113:$H$113)+$C$113</f>
        <v>-470361.4696163733</v>
      </c>
    </row>
    <row r="143" spans="2:8" x14ac:dyDescent="0.2">
      <c r="B143" s="54">
        <v>0.9</v>
      </c>
      <c r="C143" s="62">
        <f t="shared" si="17"/>
        <v>7.8640776699029288E-2</v>
      </c>
      <c r="D143" s="57">
        <f>NPV(C143,$D$113:$H$113)+$C$113</f>
        <v>-467433.66303296702</v>
      </c>
    </row>
    <row r="144" spans="2:8" x14ac:dyDescent="0.2">
      <c r="B144" s="54">
        <v>0.95</v>
      </c>
      <c r="C144" s="62">
        <f>B144*$C$145</f>
        <v>8.3009708737864243E-2</v>
      </c>
      <c r="D144" s="57">
        <f>NPV(C144,$D$113:$H$113)+$C$113</f>
        <v>-464551.18948373856</v>
      </c>
    </row>
    <row r="145" spans="2:15" x14ac:dyDescent="0.2">
      <c r="B145" s="54">
        <v>1</v>
      </c>
      <c r="C145" s="63">
        <f>C81</f>
        <v>8.7378640776699212E-2</v>
      </c>
      <c r="D145" s="57">
        <f>NPV(C145,$D$113:$H$113)+$C$113</f>
        <v>-461713.11025046982</v>
      </c>
    </row>
    <row r="146" spans="2:15" x14ac:dyDescent="0.2">
      <c r="B146" s="54">
        <v>1.05</v>
      </c>
      <c r="C146" s="62">
        <f>B146*$C$145</f>
        <v>9.1747572815534181E-2</v>
      </c>
      <c r="D146" s="57">
        <f t="shared" ref="D146:D155" si="18">NPV(C146,$D$113:$H$113)+$C$113</f>
        <v>-458918.51050368202</v>
      </c>
    </row>
    <row r="147" spans="2:15" x14ac:dyDescent="0.2">
      <c r="B147" s="54">
        <v>1.1000000000000001</v>
      </c>
      <c r="C147" s="62">
        <f t="shared" ref="C147:C155" si="19">B147*$C$145</f>
        <v>9.6116504854369136E-2</v>
      </c>
      <c r="D147" s="57">
        <f t="shared" si="18"/>
        <v>-456166.49858803843</v>
      </c>
    </row>
    <row r="148" spans="2:15" x14ac:dyDescent="0.2">
      <c r="B148" s="54">
        <v>1.1499999999999999</v>
      </c>
      <c r="C148" s="62">
        <f t="shared" si="19"/>
        <v>0.10048543689320409</v>
      </c>
      <c r="D148" s="57">
        <f t="shared" si="18"/>
        <v>-453456.20533218567</v>
      </c>
    </row>
    <row r="149" spans="2:15" x14ac:dyDescent="0.2">
      <c r="B149" s="54">
        <v>1.2</v>
      </c>
      <c r="C149" s="62">
        <f t="shared" si="19"/>
        <v>0.10485436893203905</v>
      </c>
      <c r="D149" s="57">
        <f t="shared" si="18"/>
        <v>-450786.7833820972</v>
      </c>
    </row>
    <row r="150" spans="2:15" x14ac:dyDescent="0.2">
      <c r="B150" s="54">
        <v>1.25</v>
      </c>
      <c r="C150" s="62">
        <f t="shared" si="19"/>
        <v>0.10922330097087402</v>
      </c>
      <c r="D150" s="57">
        <f t="shared" si="18"/>
        <v>-448157.40655702114</v>
      </c>
    </row>
    <row r="151" spans="2:15" x14ac:dyDescent="0.2">
      <c r="B151" s="54">
        <v>1.3</v>
      </c>
      <c r="C151" s="62">
        <f t="shared" si="19"/>
        <v>0.11359223300970898</v>
      </c>
      <c r="D151" s="57">
        <f t="shared" si="18"/>
        <v>-445567.26922717021</v>
      </c>
    </row>
    <row r="152" spans="2:15" x14ac:dyDescent="0.2">
      <c r="B152" s="54">
        <v>1.35</v>
      </c>
      <c r="C152" s="62">
        <f t="shared" si="19"/>
        <v>0.11796116504854394</v>
      </c>
      <c r="D152" s="57">
        <f t="shared" si="18"/>
        <v>-443015.58571233501</v>
      </c>
    </row>
    <row r="153" spans="2:15" x14ac:dyDescent="0.2">
      <c r="B153" s="54">
        <v>1.4</v>
      </c>
      <c r="C153" s="62">
        <f t="shared" si="19"/>
        <v>0.12233009708737889</v>
      </c>
      <c r="D153" s="57">
        <f t="shared" si="18"/>
        <v>-440501.58970062673</v>
      </c>
    </row>
    <row r="154" spans="2:15" x14ac:dyDescent="0.2">
      <c r="B154" s="54">
        <v>1.45</v>
      </c>
      <c r="C154" s="62">
        <f t="shared" si="19"/>
        <v>0.12669902912621386</v>
      </c>
      <c r="D154" s="57">
        <f t="shared" si="18"/>
        <v>-438024.53368659632</v>
      </c>
    </row>
    <row r="155" spans="2:15" x14ac:dyDescent="0.2">
      <c r="B155" s="54">
        <v>1.5</v>
      </c>
      <c r="C155" s="62">
        <f t="shared" si="19"/>
        <v>0.13106796116504882</v>
      </c>
      <c r="D155" s="57">
        <f t="shared" si="18"/>
        <v>-435583.68842800352</v>
      </c>
    </row>
    <row r="158" spans="2:15" ht="22" x14ac:dyDescent="0.3">
      <c r="B158" s="46" t="s">
        <v>217</v>
      </c>
      <c r="C158" s="46"/>
      <c r="D158" s="46"/>
      <c r="E158" s="46"/>
    </row>
    <row r="160" spans="2:15" x14ac:dyDescent="0.2">
      <c r="E160" s="32" t="str">
        <f>T6</f>
        <v>Precio mensual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2:15" x14ac:dyDescent="0.2">
      <c r="E161" s="54">
        <v>0.5</v>
      </c>
      <c r="F161" s="54">
        <v>0.6</v>
      </c>
      <c r="G161" s="54">
        <v>0.7</v>
      </c>
      <c r="H161" s="54">
        <v>0.8</v>
      </c>
      <c r="I161" s="54">
        <v>0.9</v>
      </c>
      <c r="J161" s="54">
        <v>1</v>
      </c>
      <c r="K161" s="54">
        <v>1.1000000000000001</v>
      </c>
      <c r="L161" s="54">
        <v>1.2</v>
      </c>
      <c r="M161" s="54">
        <v>1.3</v>
      </c>
      <c r="N161" s="54">
        <v>1.4</v>
      </c>
      <c r="O161" s="54">
        <v>1.5</v>
      </c>
    </row>
    <row r="162" spans="2:15" x14ac:dyDescent="0.2">
      <c r="D162" s="17">
        <f>C117</f>
        <v>-461713.11025046982</v>
      </c>
      <c r="E162" s="33">
        <f t="shared" ref="E162:H162" si="20">E161*$J$162</f>
        <v>75</v>
      </c>
      <c r="F162" s="33">
        <f t="shared" si="20"/>
        <v>90</v>
      </c>
      <c r="G162" s="33">
        <f t="shared" si="20"/>
        <v>105</v>
      </c>
      <c r="H162" s="33">
        <f t="shared" si="20"/>
        <v>120</v>
      </c>
      <c r="I162" s="33">
        <f>I161*$J$162</f>
        <v>135</v>
      </c>
      <c r="J162" s="33">
        <v>150</v>
      </c>
      <c r="K162" s="33">
        <f t="shared" ref="K162" si="21">K161*$J$162</f>
        <v>165</v>
      </c>
      <c r="L162" s="33">
        <f t="shared" ref="L162" si="22">L161*$J$162</f>
        <v>180</v>
      </c>
      <c r="M162" s="33">
        <f t="shared" ref="M162" si="23">M161*$J$162</f>
        <v>195</v>
      </c>
      <c r="N162" s="33">
        <f t="shared" ref="N162" si="24">N161*$J$162</f>
        <v>210</v>
      </c>
      <c r="O162" s="33">
        <f>O161*$J$162</f>
        <v>225</v>
      </c>
    </row>
    <row r="163" spans="2:15" x14ac:dyDescent="0.2">
      <c r="B163" s="60" t="s">
        <v>177</v>
      </c>
      <c r="C163" s="54">
        <v>0.5</v>
      </c>
      <c r="D163" s="33">
        <f t="shared" ref="D163:D166" si="25">C163*$D$168</f>
        <v>10</v>
      </c>
      <c r="E163" s="59">
        <f t="dataTable" ref="E163:O173" dt2D="1" dtr="1" r1="U6" r2="U5"/>
        <v>-616111.79546906275</v>
      </c>
      <c r="F163" s="59">
        <v>-614456.43832620559</v>
      </c>
      <c r="G163" s="59">
        <v>-612801.08118334855</v>
      </c>
      <c r="H163" s="59">
        <v>-611145.72404049127</v>
      </c>
      <c r="I163" s="59">
        <v>-609490.36689763423</v>
      </c>
      <c r="J163" s="59">
        <v>-607835.00975477707</v>
      </c>
      <c r="K163" s="59">
        <v>-606179.65261191991</v>
      </c>
      <c r="L163" s="59">
        <v>-604524.29546906275</v>
      </c>
      <c r="M163" s="59">
        <v>-602868.93832620559</v>
      </c>
      <c r="N163" s="59">
        <v>-601213.58118334855</v>
      </c>
      <c r="O163" s="59">
        <v>-599558.22404049127</v>
      </c>
    </row>
    <row r="164" spans="2:15" x14ac:dyDescent="0.2">
      <c r="B164" s="60"/>
      <c r="C164" s="54">
        <v>0.6</v>
      </c>
      <c r="D164" s="33">
        <f t="shared" si="25"/>
        <v>12</v>
      </c>
      <c r="E164" s="59">
        <v>-588542.77271105838</v>
      </c>
      <c r="F164" s="59">
        <v>-586556.34413962986</v>
      </c>
      <c r="G164" s="59">
        <v>-584569.91556820134</v>
      </c>
      <c r="H164" s="59">
        <v>-582583.4869967727</v>
      </c>
      <c r="I164" s="59">
        <v>-580597.05842534418</v>
      </c>
      <c r="J164" s="59">
        <v>-578610.62985391566</v>
      </c>
      <c r="K164" s="59">
        <v>-576624.20128248702</v>
      </c>
      <c r="L164" s="59">
        <v>-574637.77271105838</v>
      </c>
      <c r="M164" s="59">
        <v>-572651.34413962986</v>
      </c>
      <c r="N164" s="59">
        <v>-570664.91556820134</v>
      </c>
      <c r="O164" s="59">
        <v>-568678.4869967727</v>
      </c>
    </row>
    <row r="165" spans="2:15" x14ac:dyDescent="0.2">
      <c r="B165" s="60"/>
      <c r="C165" s="54">
        <v>0.7</v>
      </c>
      <c r="D165" s="33">
        <f t="shared" si="25"/>
        <v>14</v>
      </c>
      <c r="E165" s="59">
        <v>-560973.74995305412</v>
      </c>
      <c r="F165" s="59">
        <v>-558656.24995305412</v>
      </c>
      <c r="G165" s="59">
        <v>-556338.74995305412</v>
      </c>
      <c r="H165" s="59">
        <v>-554021.24995305412</v>
      </c>
      <c r="I165" s="59">
        <v>-551703.74995305412</v>
      </c>
      <c r="J165" s="59">
        <v>-549386.24995305412</v>
      </c>
      <c r="K165" s="59">
        <v>-547068.74995305412</v>
      </c>
      <c r="L165" s="59">
        <v>-544751.24995305412</v>
      </c>
      <c r="M165" s="59">
        <v>-542433.74995305412</v>
      </c>
      <c r="N165" s="59">
        <v>-540116.24995305412</v>
      </c>
      <c r="O165" s="59">
        <v>-537798.74995305412</v>
      </c>
    </row>
    <row r="166" spans="2:15" x14ac:dyDescent="0.2">
      <c r="B166" s="60"/>
      <c r="C166" s="54">
        <v>0.8</v>
      </c>
      <c r="D166" s="33">
        <f t="shared" si="25"/>
        <v>16</v>
      </c>
      <c r="E166" s="59">
        <v>-533404.72719504987</v>
      </c>
      <c r="F166" s="59">
        <v>-530756.15576647839</v>
      </c>
      <c r="G166" s="59">
        <v>-528107.58433790691</v>
      </c>
      <c r="H166" s="59">
        <v>-525459.01290933555</v>
      </c>
      <c r="I166" s="59">
        <v>-522810.44148076407</v>
      </c>
      <c r="J166" s="59">
        <v>-520161.87005219265</v>
      </c>
      <c r="K166" s="59">
        <v>-517513.29862362123</v>
      </c>
      <c r="L166" s="59">
        <v>-514864.72719504981</v>
      </c>
      <c r="M166" s="59">
        <v>-512216.15576647839</v>
      </c>
      <c r="N166" s="59">
        <v>-509567.58433790697</v>
      </c>
      <c r="O166" s="59">
        <v>-506919.01290933555</v>
      </c>
    </row>
    <row r="167" spans="2:15" x14ac:dyDescent="0.2">
      <c r="B167" s="60"/>
      <c r="C167" s="54">
        <v>0.9</v>
      </c>
      <c r="D167" s="33">
        <f>C167*$D$168</f>
        <v>18</v>
      </c>
      <c r="E167" s="59">
        <v>-505835.70443704556</v>
      </c>
      <c r="F167" s="59">
        <v>-502856.06157990271</v>
      </c>
      <c r="G167" s="59">
        <v>-499876.41872275982</v>
      </c>
      <c r="H167" s="59">
        <v>-496896.77586561698</v>
      </c>
      <c r="I167" s="59">
        <v>-493917.13300847413</v>
      </c>
      <c r="J167" s="59">
        <v>-490937.49015133124</v>
      </c>
      <c r="K167" s="59">
        <v>-487957.8472941884</v>
      </c>
      <c r="L167" s="59">
        <v>-484978.20443704556</v>
      </c>
      <c r="M167" s="59">
        <v>-481998.56157990271</v>
      </c>
      <c r="N167" s="59">
        <v>-479018.91872275982</v>
      </c>
      <c r="O167" s="59">
        <v>-476039.27586561698</v>
      </c>
    </row>
    <row r="168" spans="2:15" x14ac:dyDescent="0.2">
      <c r="B168" s="60"/>
      <c r="C168" s="54">
        <v>1</v>
      </c>
      <c r="D168" s="33">
        <v>20</v>
      </c>
      <c r="E168" s="59">
        <v>-478266.68167904124</v>
      </c>
      <c r="F168" s="59">
        <v>-474955.96739332692</v>
      </c>
      <c r="G168" s="59">
        <v>-471645.25310761266</v>
      </c>
      <c r="H168" s="59">
        <v>-468334.5388218984</v>
      </c>
      <c r="I168" s="59">
        <v>-465023.82453618408</v>
      </c>
      <c r="J168" s="58">
        <v>-461713.11025046982</v>
      </c>
      <c r="K168" s="59">
        <v>-458402.3959647555</v>
      </c>
      <c r="L168" s="59">
        <v>-455091.68167904124</v>
      </c>
      <c r="M168" s="59">
        <v>-451780.96739332692</v>
      </c>
      <c r="N168" s="59">
        <v>-448470.25310761266</v>
      </c>
      <c r="O168" s="59">
        <v>-445159.5388218984</v>
      </c>
    </row>
    <row r="169" spans="2:15" x14ac:dyDescent="0.2">
      <c r="B169" s="60"/>
      <c r="C169" s="54">
        <v>1.1000000000000001</v>
      </c>
      <c r="D169" s="33">
        <f t="shared" ref="D169:D172" si="26">C169*$D$168</f>
        <v>22</v>
      </c>
      <c r="E169" s="59">
        <v>-450697.65892103699</v>
      </c>
      <c r="F169" s="59">
        <v>-447055.87320675125</v>
      </c>
      <c r="G169" s="59">
        <v>-443414.08749246551</v>
      </c>
      <c r="H169" s="59">
        <v>-439772.30177817983</v>
      </c>
      <c r="I169" s="59">
        <v>-436130.51606389409</v>
      </c>
      <c r="J169" s="59">
        <v>-432488.73034960841</v>
      </c>
      <c r="K169" s="59">
        <v>-428846.94463532267</v>
      </c>
      <c r="L169" s="59">
        <v>-425205.15892103699</v>
      </c>
      <c r="M169" s="59">
        <v>-421563.37320675125</v>
      </c>
      <c r="N169" s="59">
        <v>-417921.58749246557</v>
      </c>
      <c r="O169" s="59">
        <v>-414279.80177817983</v>
      </c>
    </row>
    <row r="170" spans="2:15" x14ac:dyDescent="0.2">
      <c r="B170" s="60"/>
      <c r="C170" s="54">
        <v>1.2</v>
      </c>
      <c r="D170" s="33">
        <f t="shared" si="26"/>
        <v>24</v>
      </c>
      <c r="E170" s="59">
        <v>-423128.63616303267</v>
      </c>
      <c r="F170" s="59">
        <v>-419155.77902017557</v>
      </c>
      <c r="G170" s="59">
        <v>-415182.92187731841</v>
      </c>
      <c r="H170" s="59">
        <v>-411210.06473446125</v>
      </c>
      <c r="I170" s="59">
        <v>-407237.20759160409</v>
      </c>
      <c r="J170" s="59">
        <v>-403264.35044874699</v>
      </c>
      <c r="K170" s="59">
        <v>-399291.49330588989</v>
      </c>
      <c r="L170" s="59">
        <v>-395318.63616303273</v>
      </c>
      <c r="M170" s="59">
        <v>-391345.77902017557</v>
      </c>
      <c r="N170" s="59">
        <v>-387372.92187731841</v>
      </c>
      <c r="O170" s="59">
        <v>-383400.06473446125</v>
      </c>
    </row>
    <row r="171" spans="2:15" x14ac:dyDescent="0.2">
      <c r="B171" s="60"/>
      <c r="C171" s="54">
        <v>1.3</v>
      </c>
      <c r="D171" s="33">
        <f t="shared" si="26"/>
        <v>26</v>
      </c>
      <c r="E171" s="59">
        <v>-395559.61340502836</v>
      </c>
      <c r="F171" s="59">
        <v>-391255.68483359984</v>
      </c>
      <c r="G171" s="59">
        <v>-386951.7562621712</v>
      </c>
      <c r="H171" s="59">
        <v>-382647.82769074268</v>
      </c>
      <c r="I171" s="59">
        <v>-378343.8991193141</v>
      </c>
      <c r="J171" s="59">
        <v>-374039.97054788552</v>
      </c>
      <c r="K171" s="59">
        <v>-369736.04197645694</v>
      </c>
      <c r="L171" s="59">
        <v>-365432.11340502836</v>
      </c>
      <c r="M171" s="59">
        <v>-361128.18483359978</v>
      </c>
      <c r="N171" s="59">
        <v>-356824.2562621712</v>
      </c>
      <c r="O171" s="59">
        <v>-352520.32769074268</v>
      </c>
    </row>
    <row r="172" spans="2:15" x14ac:dyDescent="0.2">
      <c r="B172" s="60"/>
      <c r="C172" s="54">
        <v>1.4</v>
      </c>
      <c r="D172" s="33">
        <f t="shared" si="26"/>
        <v>28</v>
      </c>
      <c r="E172" s="59">
        <v>-367990.5906470241</v>
      </c>
      <c r="F172" s="59">
        <v>-363355.5906470241</v>
      </c>
      <c r="G172" s="59">
        <v>-358720.5906470241</v>
      </c>
      <c r="H172" s="59">
        <v>-354085.5906470241</v>
      </c>
      <c r="I172" s="59">
        <v>-349450.5906470241</v>
      </c>
      <c r="J172" s="59">
        <v>-344815.5906470241</v>
      </c>
      <c r="K172" s="59">
        <v>-340180.5906470241</v>
      </c>
      <c r="L172" s="59">
        <v>-335545.5906470241</v>
      </c>
      <c r="M172" s="59">
        <v>-330910.5906470241</v>
      </c>
      <c r="N172" s="59">
        <v>-326275.5906470241</v>
      </c>
      <c r="O172" s="59">
        <v>-321640.5906470241</v>
      </c>
    </row>
    <row r="173" spans="2:15" x14ac:dyDescent="0.2">
      <c r="B173" s="60"/>
      <c r="C173" s="54">
        <v>1.5</v>
      </c>
      <c r="D173" s="33">
        <f>C173*$D$168</f>
        <v>30</v>
      </c>
      <c r="E173" s="59">
        <v>-340421.56788901973</v>
      </c>
      <c r="F173" s="59">
        <v>-335455.49646044831</v>
      </c>
      <c r="G173" s="59">
        <v>-330489.42503187689</v>
      </c>
      <c r="H173" s="59">
        <v>-325523.35360330547</v>
      </c>
      <c r="I173" s="59">
        <v>-320557.28217473405</v>
      </c>
      <c r="J173" s="59">
        <v>-315591.21074616257</v>
      </c>
      <c r="K173" s="59">
        <v>-310625.13931759121</v>
      </c>
      <c r="L173" s="59">
        <v>-305659.06788901973</v>
      </c>
      <c r="M173" s="59">
        <v>-300692.99646044831</v>
      </c>
      <c r="N173" s="59">
        <v>-295726.92503187689</v>
      </c>
      <c r="O173" s="59">
        <v>-290760.85360330547</v>
      </c>
    </row>
    <row r="176" spans="2:15" ht="22" x14ac:dyDescent="0.3">
      <c r="B176" s="46" t="s">
        <v>220</v>
      </c>
      <c r="C176" s="46"/>
      <c r="D176" s="46"/>
      <c r="E176" s="46"/>
    </row>
    <row r="178" spans="2:10" x14ac:dyDescent="0.2">
      <c r="B178" s="47"/>
      <c r="C178" s="52">
        <v>0</v>
      </c>
      <c r="D178" s="53">
        <v>1</v>
      </c>
      <c r="E178" s="53">
        <v>2</v>
      </c>
      <c r="F178" s="53">
        <v>3</v>
      </c>
      <c r="G178" s="53">
        <v>4</v>
      </c>
      <c r="H178" s="47">
        <v>5</v>
      </c>
    </row>
    <row r="179" spans="2:10" x14ac:dyDescent="0.2">
      <c r="B179" s="8" t="s">
        <v>198</v>
      </c>
      <c r="C179" s="55">
        <f>-$C$109</f>
        <v>-153500</v>
      </c>
      <c r="D179" s="55">
        <f>$D$105+$D$107</f>
        <v>-108840</v>
      </c>
      <c r="E179" s="55">
        <f>$E$105+$E$107</f>
        <v>-100706</v>
      </c>
      <c r="F179" s="55">
        <f>$F$105+$F$107</f>
        <v>-87538.7</v>
      </c>
      <c r="G179" s="55">
        <f>$G$105+$G$107</f>
        <v>-67226.081000000064</v>
      </c>
      <c r="H179" s="55">
        <f>$H$105+$H$107+$H$110+$H$111</f>
        <v>-10301.341870000004</v>
      </c>
      <c r="J179" t="s">
        <v>222</v>
      </c>
    </row>
    <row r="180" spans="2:10" x14ac:dyDescent="0.2">
      <c r="B180" s="11" t="s">
        <v>221</v>
      </c>
      <c r="C180" s="65">
        <v>0.03</v>
      </c>
      <c r="D180" s="66">
        <f>(1+0.03)^D178</f>
        <v>1.03</v>
      </c>
      <c r="E180" s="66">
        <f t="shared" ref="E180:H180" si="27">(1+0.03)^E178</f>
        <v>1.0609</v>
      </c>
      <c r="F180" s="66">
        <f t="shared" si="27"/>
        <v>1.092727</v>
      </c>
      <c r="G180" s="66">
        <f t="shared" si="27"/>
        <v>1.1255088099999999</v>
      </c>
      <c r="H180" s="66">
        <f t="shared" si="27"/>
        <v>1.1592740742999998</v>
      </c>
    </row>
    <row r="181" spans="2:10" x14ac:dyDescent="0.2">
      <c r="B181" s="8" t="s">
        <v>220</v>
      </c>
      <c r="C181" s="14">
        <f>C179</f>
        <v>-153500</v>
      </c>
      <c r="D181" s="64">
        <f>D180*D179</f>
        <v>-112105.2</v>
      </c>
      <c r="E181" s="64">
        <f t="shared" ref="E181:H181" si="28">E180*E179</f>
        <v>-106838.9954</v>
      </c>
      <c r="F181" s="64">
        <f t="shared" si="28"/>
        <v>-95655.901034900002</v>
      </c>
      <c r="G181" s="64">
        <f t="shared" si="28"/>
        <v>-75663.546427273672</v>
      </c>
      <c r="H181" s="64">
        <f t="shared" si="28"/>
        <v>-11942.078560392083</v>
      </c>
    </row>
    <row r="182" spans="2:10" x14ac:dyDescent="0.2">
      <c r="B182" s="8" t="s">
        <v>200</v>
      </c>
      <c r="C182" s="56">
        <f>NPV(C80,D181:H181)+C181</f>
        <v>-461713.11025046988</v>
      </c>
      <c r="D182" s="6"/>
      <c r="E182" s="6"/>
      <c r="F182" s="6"/>
      <c r="G182" s="6"/>
      <c r="H182" s="6"/>
    </row>
    <row r="183" spans="2:10" x14ac:dyDescent="0.2">
      <c r="B183" s="8" t="s">
        <v>201</v>
      </c>
      <c r="C183" s="7" t="e">
        <f>IRR(C181:H181)</f>
        <v>#NUM!</v>
      </c>
      <c r="D183" s="6"/>
      <c r="E183" s="6"/>
      <c r="F183" s="6"/>
      <c r="G183" s="6"/>
      <c r="H183" s="6"/>
    </row>
  </sheetData>
  <mergeCells count="9">
    <mergeCell ref="E160:O160"/>
    <mergeCell ref="B163:B173"/>
    <mergeCell ref="B176:E176"/>
    <mergeCell ref="AC4:AI4"/>
    <mergeCell ref="AA4:AB4"/>
    <mergeCell ref="B94:E94"/>
    <mergeCell ref="B122:E122"/>
    <mergeCell ref="B132:E132"/>
    <mergeCell ref="B158:E158"/>
  </mergeCells>
  <pageMargins left="0.7" right="0.7" top="0.75" bottom="0.75" header="0.3" footer="0.3"/>
  <ignoredErrors>
    <ignoredError sqref="C118 C144" evalError="1"/>
    <ignoredError sqref="C145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FDCC-C197-A448-B4F6-244D8A013D1D}">
  <dimension ref="B2:AI173"/>
  <sheetViews>
    <sheetView topLeftCell="A105" workbookViewId="0">
      <selection activeCell="U19" sqref="U19"/>
    </sheetView>
  </sheetViews>
  <sheetFormatPr baseColWidth="10" defaultRowHeight="16" x14ac:dyDescent="0.2"/>
  <cols>
    <col min="2" max="2" width="33.6640625" bestFit="1" customWidth="1"/>
    <col min="3" max="3" width="26" bestFit="1" customWidth="1"/>
    <col min="4" max="4" width="30.6640625" bestFit="1" customWidth="1"/>
    <col min="5" max="5" width="46.83203125" bestFit="1" customWidth="1"/>
    <col min="6" max="6" width="13" bestFit="1" customWidth="1"/>
    <col min="7" max="7" width="30.1640625" bestFit="1" customWidth="1"/>
    <col min="8" max="8" width="19.83203125" bestFit="1" customWidth="1"/>
    <col min="9" max="9" width="11.33203125" bestFit="1" customWidth="1"/>
    <col min="10" max="10" width="17.6640625" bestFit="1" customWidth="1"/>
    <col min="11" max="11" width="11.33203125" bestFit="1" customWidth="1"/>
    <col min="12" max="12" width="28" bestFit="1" customWidth="1"/>
    <col min="13" max="13" width="13.1640625" bestFit="1" customWidth="1"/>
    <col min="14" max="14" width="18" bestFit="1" customWidth="1"/>
    <col min="15" max="15" width="11.33203125" bestFit="1" customWidth="1"/>
    <col min="20" max="20" width="15.1640625" bestFit="1" customWidth="1"/>
    <col min="27" max="27" width="28.5" bestFit="1" customWidth="1"/>
    <col min="28" max="30" width="12.6640625" bestFit="1" customWidth="1"/>
    <col min="31" max="32" width="13.6640625" bestFit="1" customWidth="1"/>
    <col min="33" max="33" width="14.33203125" bestFit="1" customWidth="1"/>
    <col min="34" max="34" width="14.83203125" bestFit="1" customWidth="1"/>
    <col min="35" max="35" width="18" bestFit="1" customWidth="1"/>
    <col min="36" max="36" width="13.6640625" bestFit="1" customWidth="1"/>
  </cols>
  <sheetData>
    <row r="2" spans="2:35" ht="22" x14ac:dyDescent="0.3">
      <c r="B2" s="1" t="s">
        <v>0</v>
      </c>
      <c r="G2" s="1" t="s">
        <v>125</v>
      </c>
      <c r="L2" s="1" t="s">
        <v>133</v>
      </c>
      <c r="T2" s="1" t="s">
        <v>181</v>
      </c>
      <c r="AA2" s="30" t="s">
        <v>185</v>
      </c>
    </row>
    <row r="4" spans="2:35" ht="19" x14ac:dyDescent="0.25">
      <c r="B4" s="12" t="s">
        <v>22</v>
      </c>
      <c r="G4" s="10" t="s">
        <v>1</v>
      </c>
      <c r="H4" s="10" t="s">
        <v>127</v>
      </c>
      <c r="I4" s="10" t="s">
        <v>128</v>
      </c>
      <c r="J4" s="10" t="s">
        <v>15</v>
      </c>
      <c r="L4" s="20" t="s">
        <v>160</v>
      </c>
      <c r="T4" s="8" t="s">
        <v>176</v>
      </c>
      <c r="U4" s="8">
        <v>1</v>
      </c>
      <c r="V4" s="8">
        <v>2</v>
      </c>
      <c r="W4" s="8">
        <v>3</v>
      </c>
      <c r="X4" s="8">
        <v>4</v>
      </c>
      <c r="Y4" s="8">
        <v>5</v>
      </c>
      <c r="AA4" s="32" t="s">
        <v>186</v>
      </c>
      <c r="AB4" s="32"/>
      <c r="AC4" s="32" t="s">
        <v>187</v>
      </c>
      <c r="AD4" s="32"/>
      <c r="AE4" s="32"/>
      <c r="AF4" s="32"/>
      <c r="AG4" s="32"/>
      <c r="AH4" s="32"/>
      <c r="AI4" s="32"/>
    </row>
    <row r="5" spans="2:35" x14ac:dyDescent="0.2">
      <c r="B5" s="10" t="s">
        <v>23</v>
      </c>
      <c r="C5" s="10" t="s">
        <v>2</v>
      </c>
      <c r="D5" s="2"/>
      <c r="E5" s="2"/>
      <c r="F5" s="2"/>
      <c r="G5" s="11" t="s">
        <v>9</v>
      </c>
      <c r="H5" s="14">
        <v>80000</v>
      </c>
      <c r="I5" s="6" t="s">
        <v>129</v>
      </c>
      <c r="J5" s="14">
        <v>16000</v>
      </c>
      <c r="L5" s="9" t="s">
        <v>167</v>
      </c>
      <c r="M5" s="9" t="s">
        <v>134</v>
      </c>
      <c r="N5" s="9" t="s">
        <v>135</v>
      </c>
      <c r="O5" s="9" t="s">
        <v>126</v>
      </c>
      <c r="T5" s="8" t="s">
        <v>177</v>
      </c>
      <c r="U5" s="68">
        <v>51.597803738984375</v>
      </c>
      <c r="V5" s="22">
        <f>U5*(1+$C$19)</f>
        <v>72.236925234578123</v>
      </c>
      <c r="W5" s="22">
        <f t="shared" ref="W5:Y5" si="0">V5*(1+$C$19)</f>
        <v>101.13169532840936</v>
      </c>
      <c r="X5" s="22">
        <f t="shared" si="0"/>
        <v>141.5843734597731</v>
      </c>
      <c r="Y5" s="22">
        <f t="shared" si="0"/>
        <v>198.21812284368232</v>
      </c>
      <c r="AA5" s="8" t="s">
        <v>194</v>
      </c>
      <c r="AB5" s="6">
        <f>C72*C76</f>
        <v>92100</v>
      </c>
      <c r="AC5" s="8" t="s">
        <v>188</v>
      </c>
      <c r="AD5" s="8" t="s">
        <v>189</v>
      </c>
      <c r="AE5" s="8" t="s">
        <v>190</v>
      </c>
      <c r="AF5" s="8" t="s">
        <v>191</v>
      </c>
      <c r="AG5" s="8" t="s">
        <v>192</v>
      </c>
      <c r="AH5" s="8" t="s">
        <v>193</v>
      </c>
      <c r="AI5" s="8" t="s">
        <v>216</v>
      </c>
    </row>
    <row r="6" spans="2:35" x14ac:dyDescent="0.2">
      <c r="B6" s="11" t="s">
        <v>25</v>
      </c>
      <c r="C6" s="6">
        <v>5</v>
      </c>
      <c r="G6" s="11" t="s">
        <v>79</v>
      </c>
      <c r="H6" s="14">
        <v>15000</v>
      </c>
      <c r="I6" s="6"/>
      <c r="J6" s="6">
        <v>0</v>
      </c>
      <c r="L6" s="6" t="s">
        <v>136</v>
      </c>
      <c r="M6" s="6">
        <v>2</v>
      </c>
      <c r="N6" s="14">
        <v>40000</v>
      </c>
      <c r="O6" s="14">
        <f>N6*M6</f>
        <v>80000</v>
      </c>
      <c r="T6" s="8" t="s">
        <v>182</v>
      </c>
      <c r="U6" s="6">
        <v>150</v>
      </c>
      <c r="V6" s="6">
        <v>150</v>
      </c>
      <c r="W6" s="6">
        <v>150</v>
      </c>
      <c r="X6" s="6">
        <v>150</v>
      </c>
      <c r="Y6" s="6">
        <v>150</v>
      </c>
      <c r="AA6" s="8" t="s">
        <v>195</v>
      </c>
      <c r="AB6" s="7">
        <f>C77</f>
        <v>0.05</v>
      </c>
      <c r="AC6" s="8">
        <v>1</v>
      </c>
      <c r="AD6" s="29">
        <f>$AB$5</f>
        <v>92100</v>
      </c>
      <c r="AE6" s="29">
        <f>$AB$8</f>
        <v>21272.778907613494</v>
      </c>
      <c r="AF6" s="29">
        <f>AD6*$AB$6</f>
        <v>4605</v>
      </c>
      <c r="AG6" s="29">
        <f>AE6-AF6</f>
        <v>16667.778907613494</v>
      </c>
      <c r="AH6" s="29">
        <f>AF6*(1-$AB$9)</f>
        <v>3453.75</v>
      </c>
      <c r="AI6" s="37">
        <f>AG6+AH6</f>
        <v>20121.528907613494</v>
      </c>
    </row>
    <row r="7" spans="2:35" x14ac:dyDescent="0.2">
      <c r="B7" s="11" t="s">
        <v>27</v>
      </c>
      <c r="C7" s="6">
        <v>2026</v>
      </c>
      <c r="G7" s="11" t="s">
        <v>10</v>
      </c>
      <c r="H7" s="14">
        <v>5000</v>
      </c>
      <c r="I7" s="6"/>
      <c r="J7" s="6">
        <v>0</v>
      </c>
      <c r="L7" s="6" t="s">
        <v>137</v>
      </c>
      <c r="M7" s="6">
        <v>1</v>
      </c>
      <c r="N7" s="14">
        <v>30000</v>
      </c>
      <c r="O7" s="14">
        <f>N7</f>
        <v>30000</v>
      </c>
      <c r="T7" s="8" t="s">
        <v>183</v>
      </c>
      <c r="U7" s="6">
        <v>12</v>
      </c>
      <c r="V7" s="6">
        <v>12</v>
      </c>
      <c r="W7" s="6">
        <v>12</v>
      </c>
      <c r="X7" s="6">
        <v>12</v>
      </c>
      <c r="Y7" s="6">
        <v>12</v>
      </c>
      <c r="AA7" s="8" t="s">
        <v>196</v>
      </c>
      <c r="AB7" s="6">
        <f>5</f>
        <v>5</v>
      </c>
      <c r="AC7" s="8">
        <v>2</v>
      </c>
      <c r="AD7" s="29">
        <f>AD6-AG6</f>
        <v>75432.221092386506</v>
      </c>
      <c r="AE7" s="29">
        <f>$AB$8</f>
        <v>21272.778907613494</v>
      </c>
      <c r="AF7" s="29">
        <f>AD7*$AB$6</f>
        <v>3771.6110546193254</v>
      </c>
      <c r="AG7" s="29">
        <f>AE7-AF7</f>
        <v>17501.167852994167</v>
      </c>
      <c r="AH7" s="29">
        <f>AF7*(1-$AB$9)</f>
        <v>2828.7082909644942</v>
      </c>
      <c r="AI7" s="37">
        <f>AG7+AH7</f>
        <v>20329.87614395866</v>
      </c>
    </row>
    <row r="8" spans="2:35" x14ac:dyDescent="0.2">
      <c r="B8" s="11" t="s">
        <v>28</v>
      </c>
      <c r="C8" s="6" t="s">
        <v>29</v>
      </c>
      <c r="G8" s="11" t="s">
        <v>81</v>
      </c>
      <c r="H8" s="14">
        <v>7500</v>
      </c>
      <c r="I8" s="6" t="s">
        <v>130</v>
      </c>
      <c r="J8" s="14">
        <v>1875</v>
      </c>
      <c r="L8" s="10" t="s">
        <v>138</v>
      </c>
      <c r="M8" s="11"/>
      <c r="N8" s="11"/>
      <c r="O8" s="16">
        <f>O7+O6</f>
        <v>110000</v>
      </c>
      <c r="T8" s="8" t="s">
        <v>184</v>
      </c>
      <c r="U8" s="24">
        <f>U5*U6*U7</f>
        <v>92876.046730171875</v>
      </c>
      <c r="V8" s="24">
        <f t="shared" ref="V8:Y8" si="1">V5*V6*V7</f>
        <v>130026.46542224061</v>
      </c>
      <c r="W8" s="24">
        <f t="shared" si="1"/>
        <v>182037.05159113687</v>
      </c>
      <c r="X8" s="24">
        <f t="shared" si="1"/>
        <v>254851.87222759158</v>
      </c>
      <c r="Y8" s="24">
        <f t="shared" si="1"/>
        <v>356792.62111862819</v>
      </c>
      <c r="AA8" s="8" t="s">
        <v>190</v>
      </c>
      <c r="AB8" s="31">
        <f>PMT($AB$6,$AB$7,-$AB$5)</f>
        <v>21272.778907613494</v>
      </c>
      <c r="AC8" s="8">
        <v>3</v>
      </c>
      <c r="AD8" s="29">
        <f>AD7-AG7</f>
        <v>57931.053239392335</v>
      </c>
      <c r="AE8" s="29">
        <f>$AB$8</f>
        <v>21272.778907613494</v>
      </c>
      <c r="AF8" s="29">
        <f>AD8*$AB$6</f>
        <v>2896.552661969617</v>
      </c>
      <c r="AG8" s="29">
        <f>AE8-AF8</f>
        <v>18376.226245643877</v>
      </c>
      <c r="AH8" s="29">
        <f>AF8*(1-$AB$9)</f>
        <v>2172.4144964772127</v>
      </c>
      <c r="AI8" s="37">
        <f>AG8+AH8</f>
        <v>20548.64074212109</v>
      </c>
    </row>
    <row r="9" spans="2:35" x14ac:dyDescent="0.2">
      <c r="B9" s="11" t="s">
        <v>30</v>
      </c>
      <c r="C9" s="6" t="s">
        <v>31</v>
      </c>
      <c r="G9" s="11" t="s">
        <v>82</v>
      </c>
      <c r="H9" s="14">
        <v>6000</v>
      </c>
      <c r="I9" s="6"/>
      <c r="J9" s="6">
        <v>0</v>
      </c>
      <c r="L9" s="9" t="s">
        <v>139</v>
      </c>
      <c r="M9" s="6"/>
      <c r="N9" s="9" t="s">
        <v>140</v>
      </c>
      <c r="O9" s="9" t="s">
        <v>141</v>
      </c>
      <c r="AA9" s="8" t="s">
        <v>197</v>
      </c>
      <c r="AB9" s="7">
        <f>C61</f>
        <v>0.25</v>
      </c>
      <c r="AC9" s="8">
        <v>4</v>
      </c>
      <c r="AD9" s="29">
        <f>AD8-AG8</f>
        <v>39554.826993748458</v>
      </c>
      <c r="AE9" s="29">
        <f>$AB$8</f>
        <v>21272.778907613494</v>
      </c>
      <c r="AF9" s="29">
        <f>AD9*$AB$6</f>
        <v>1977.7413496874231</v>
      </c>
      <c r="AG9" s="29">
        <f>AE9-AF9</f>
        <v>19295.037557926073</v>
      </c>
      <c r="AH9" s="29">
        <f>AF9*(1-$AB$9)</f>
        <v>1483.3060122655672</v>
      </c>
      <c r="AI9" s="37">
        <f>AG9+AH9</f>
        <v>20778.343570191639</v>
      </c>
    </row>
    <row r="10" spans="2:35" x14ac:dyDescent="0.2">
      <c r="B10" s="11" t="s">
        <v>32</v>
      </c>
      <c r="C10" s="6" t="s">
        <v>33</v>
      </c>
      <c r="G10" s="11" t="s">
        <v>131</v>
      </c>
      <c r="H10" s="14">
        <v>15000</v>
      </c>
      <c r="I10" s="6"/>
      <c r="J10" s="6">
        <v>0</v>
      </c>
      <c r="L10" s="6" t="s">
        <v>142</v>
      </c>
      <c r="M10" s="6"/>
      <c r="N10" s="6">
        <v>120</v>
      </c>
      <c r="O10" s="14">
        <f>N10*12</f>
        <v>1440</v>
      </c>
      <c r="AA10" s="34"/>
      <c r="AB10" s="34"/>
      <c r="AC10" s="8">
        <v>5</v>
      </c>
      <c r="AD10" s="29">
        <f>AD9-AG9</f>
        <v>20259.789435822386</v>
      </c>
      <c r="AE10" s="29">
        <f>$AB$8</f>
        <v>21272.778907613494</v>
      </c>
      <c r="AF10" s="29">
        <f>AD10*$AB$6</f>
        <v>1012.9894717911193</v>
      </c>
      <c r="AG10" s="29">
        <f>AE10-AF10</f>
        <v>20259.789435822375</v>
      </c>
      <c r="AH10" s="29">
        <f>AF10*(1-$AB$9)</f>
        <v>759.74210384333946</v>
      </c>
      <c r="AI10" s="37">
        <f>AG10+AH10</f>
        <v>21019.531539665713</v>
      </c>
    </row>
    <row r="11" spans="2:35" x14ac:dyDescent="0.2">
      <c r="B11" s="11" t="s">
        <v>34</v>
      </c>
      <c r="C11" s="6" t="s">
        <v>35</v>
      </c>
      <c r="G11" s="11" t="s">
        <v>83</v>
      </c>
      <c r="H11" s="14">
        <v>25000</v>
      </c>
      <c r="I11" s="6"/>
      <c r="J11" s="6">
        <v>0</v>
      </c>
      <c r="L11" s="6" t="s">
        <v>143</v>
      </c>
      <c r="M11" s="6"/>
      <c r="N11" s="6">
        <v>300</v>
      </c>
      <c r="O11" s="14">
        <f t="shared" ref="O11:O14" si="2">N11*12</f>
        <v>3600</v>
      </c>
    </row>
    <row r="12" spans="2:35" x14ac:dyDescent="0.2">
      <c r="B12" s="11" t="s">
        <v>36</v>
      </c>
      <c r="C12" s="6" t="s">
        <v>37</v>
      </c>
      <c r="G12" s="10" t="s">
        <v>132</v>
      </c>
      <c r="H12" s="16">
        <v>153500</v>
      </c>
      <c r="I12" s="11"/>
      <c r="J12" s="16">
        <v>17875</v>
      </c>
      <c r="L12" s="6" t="s">
        <v>144</v>
      </c>
      <c r="M12" s="6"/>
      <c r="N12" s="6">
        <v>200</v>
      </c>
      <c r="O12" s="14">
        <f t="shared" si="2"/>
        <v>2400</v>
      </c>
    </row>
    <row r="13" spans="2:35" x14ac:dyDescent="0.2">
      <c r="L13" s="6" t="s">
        <v>145</v>
      </c>
      <c r="M13" s="6"/>
      <c r="N13" s="6">
        <v>150</v>
      </c>
      <c r="O13" s="14">
        <f t="shared" si="2"/>
        <v>1800</v>
      </c>
    </row>
    <row r="14" spans="2:35" ht="19" x14ac:dyDescent="0.25">
      <c r="B14" s="12" t="s">
        <v>38</v>
      </c>
      <c r="L14" s="6" t="s">
        <v>146</v>
      </c>
      <c r="M14" s="6"/>
      <c r="N14" s="6">
        <v>100</v>
      </c>
      <c r="O14" s="14">
        <f t="shared" si="2"/>
        <v>1200</v>
      </c>
    </row>
    <row r="15" spans="2:35" x14ac:dyDescent="0.2">
      <c r="B15" s="10" t="s">
        <v>23</v>
      </c>
      <c r="C15" s="10" t="s">
        <v>2</v>
      </c>
      <c r="D15" s="10" t="s">
        <v>24</v>
      </c>
      <c r="E15" s="10" t="s">
        <v>39</v>
      </c>
      <c r="F15" s="2"/>
      <c r="L15" s="10" t="s">
        <v>147</v>
      </c>
      <c r="M15" s="11"/>
      <c r="N15" s="10">
        <f>SUM(N10:N14)</f>
        <v>870</v>
      </c>
      <c r="O15" s="16">
        <f>SUM(O10:O14)</f>
        <v>10440</v>
      </c>
    </row>
    <row r="16" spans="2:35" x14ac:dyDescent="0.2">
      <c r="B16" s="11" t="s">
        <v>40</v>
      </c>
      <c r="C16" s="14">
        <v>10000</v>
      </c>
      <c r="D16" s="6"/>
      <c r="E16" s="6" t="s">
        <v>41</v>
      </c>
      <c r="L16" s="9" t="s">
        <v>152</v>
      </c>
      <c r="M16" s="6"/>
      <c r="N16" s="6"/>
      <c r="O16" s="9" t="s">
        <v>141</v>
      </c>
    </row>
    <row r="17" spans="2:33" x14ac:dyDescent="0.2">
      <c r="B17" s="11" t="s">
        <v>42</v>
      </c>
      <c r="C17" s="15">
        <v>2E-3</v>
      </c>
      <c r="D17" s="6"/>
      <c r="E17" s="6" t="s">
        <v>43</v>
      </c>
      <c r="L17" s="6" t="s">
        <v>148</v>
      </c>
      <c r="M17" s="6"/>
      <c r="N17" s="6"/>
      <c r="O17" s="6">
        <v>200</v>
      </c>
      <c r="AA17" s="34"/>
      <c r="AB17" s="34"/>
      <c r="AC17" s="34"/>
      <c r="AD17" s="34"/>
      <c r="AE17" s="34"/>
      <c r="AF17" s="34"/>
      <c r="AG17" s="34"/>
    </row>
    <row r="18" spans="2:33" x14ac:dyDescent="0.2">
      <c r="B18" s="11" t="s">
        <v>44</v>
      </c>
      <c r="C18" s="6">
        <f>C16*C17</f>
        <v>20</v>
      </c>
      <c r="D18" s="6" t="s">
        <v>45</v>
      </c>
      <c r="E18" s="6" t="s">
        <v>46</v>
      </c>
      <c r="L18" s="6" t="s">
        <v>149</v>
      </c>
      <c r="M18" s="6"/>
      <c r="N18" s="6"/>
      <c r="O18" s="14">
        <v>1000</v>
      </c>
      <c r="AA18" s="34"/>
      <c r="AB18" s="35"/>
      <c r="AC18" s="35"/>
      <c r="AD18" s="35"/>
      <c r="AE18" s="35"/>
      <c r="AF18" s="35"/>
      <c r="AG18" s="35"/>
    </row>
    <row r="19" spans="2:33" x14ac:dyDescent="0.2">
      <c r="B19" s="11" t="s">
        <v>47</v>
      </c>
      <c r="C19" s="7">
        <v>0.4</v>
      </c>
      <c r="D19" s="6" t="s">
        <v>48</v>
      </c>
      <c r="E19" s="6" t="s">
        <v>49</v>
      </c>
      <c r="L19" s="6" t="s">
        <v>150</v>
      </c>
      <c r="M19" s="6"/>
      <c r="N19" s="6"/>
      <c r="O19" s="14">
        <v>1800</v>
      </c>
      <c r="AA19" s="34"/>
      <c r="AB19" s="35"/>
      <c r="AC19" s="35"/>
      <c r="AD19" s="35"/>
      <c r="AE19" s="35"/>
      <c r="AF19" s="35"/>
      <c r="AG19" s="35"/>
    </row>
    <row r="20" spans="2:33" x14ac:dyDescent="0.2">
      <c r="B20" s="11" t="s">
        <v>50</v>
      </c>
      <c r="C20" s="6">
        <v>5</v>
      </c>
      <c r="D20" s="6" t="s">
        <v>51</v>
      </c>
      <c r="E20" s="6" t="s">
        <v>52</v>
      </c>
      <c r="L20" s="10" t="s">
        <v>151</v>
      </c>
      <c r="M20" s="11"/>
      <c r="N20" s="11"/>
      <c r="O20" s="16">
        <f>SUM(O17:O19)</f>
        <v>3000</v>
      </c>
      <c r="AA20" s="34"/>
      <c r="AB20" s="35"/>
      <c r="AC20" s="35"/>
      <c r="AD20" s="35"/>
      <c r="AE20" s="35"/>
      <c r="AF20" s="35"/>
      <c r="AG20" s="35"/>
    </row>
    <row r="21" spans="2:33" x14ac:dyDescent="0.2">
      <c r="B21" s="11" t="s">
        <v>53</v>
      </c>
      <c r="C21" s="6">
        <v>1</v>
      </c>
      <c r="D21" s="6" t="s">
        <v>54</v>
      </c>
      <c r="E21" s="6" t="s">
        <v>52</v>
      </c>
      <c r="L21" s="5" t="s">
        <v>157</v>
      </c>
      <c r="M21" s="6"/>
      <c r="N21" s="6"/>
      <c r="O21" s="9" t="s">
        <v>141</v>
      </c>
      <c r="AA21" s="34"/>
      <c r="AB21" s="35"/>
      <c r="AC21" s="35"/>
      <c r="AD21" s="35"/>
      <c r="AE21" s="35"/>
      <c r="AF21" s="35"/>
      <c r="AG21" s="35"/>
    </row>
    <row r="22" spans="2:33" x14ac:dyDescent="0.2">
      <c r="B22" s="11" t="s">
        <v>55</v>
      </c>
      <c r="C22" s="6">
        <v>20</v>
      </c>
      <c r="D22" s="6" t="s">
        <v>54</v>
      </c>
      <c r="E22" s="6" t="s">
        <v>56</v>
      </c>
      <c r="L22" s="6" t="s">
        <v>153</v>
      </c>
      <c r="M22" s="6"/>
      <c r="N22" s="6"/>
      <c r="O22" s="14">
        <v>3000</v>
      </c>
      <c r="AA22" s="34"/>
      <c r="AB22" s="35"/>
      <c r="AC22" s="35"/>
      <c r="AD22" s="35"/>
      <c r="AE22" s="35"/>
      <c r="AF22" s="35"/>
      <c r="AG22" s="35"/>
    </row>
    <row r="23" spans="2:33" x14ac:dyDescent="0.2">
      <c r="B23" s="11" t="s">
        <v>57</v>
      </c>
      <c r="C23" s="7">
        <v>0.5</v>
      </c>
      <c r="D23" s="6"/>
      <c r="E23" s="6" t="s">
        <v>58</v>
      </c>
      <c r="L23" s="6" t="s">
        <v>154</v>
      </c>
      <c r="M23" s="6"/>
      <c r="N23" s="6"/>
      <c r="O23" s="14">
        <v>2000</v>
      </c>
    </row>
    <row r="24" spans="2:33" x14ac:dyDescent="0.2">
      <c r="B24" s="11" t="s">
        <v>59</v>
      </c>
      <c r="C24" s="6">
        <f>C22*C23+C22</f>
        <v>30</v>
      </c>
      <c r="D24" s="6" t="s">
        <v>54</v>
      </c>
      <c r="E24" s="6" t="s">
        <v>60</v>
      </c>
      <c r="L24" s="6" t="s">
        <v>155</v>
      </c>
      <c r="M24" s="6"/>
      <c r="N24" s="6"/>
      <c r="O24" s="14">
        <v>2000</v>
      </c>
    </row>
    <row r="25" spans="2:33" x14ac:dyDescent="0.2">
      <c r="L25" s="10" t="s">
        <v>156</v>
      </c>
      <c r="M25" s="11"/>
      <c r="N25" s="11"/>
      <c r="O25" s="16">
        <f>SUM(O22:O24)</f>
        <v>7000</v>
      </c>
    </row>
    <row r="26" spans="2:33" ht="19" x14ac:dyDescent="0.25">
      <c r="B26" s="12" t="s">
        <v>61</v>
      </c>
      <c r="L26" s="9" t="s">
        <v>6</v>
      </c>
      <c r="M26" s="6"/>
      <c r="N26" s="6"/>
      <c r="O26" s="9" t="s">
        <v>141</v>
      </c>
    </row>
    <row r="27" spans="2:33" x14ac:dyDescent="0.2">
      <c r="B27" s="10" t="s">
        <v>23</v>
      </c>
      <c r="C27" s="10" t="s">
        <v>2</v>
      </c>
      <c r="D27" s="10" t="s">
        <v>24</v>
      </c>
      <c r="E27" s="10" t="s">
        <v>39</v>
      </c>
      <c r="F27" s="2"/>
      <c r="L27" s="8" t="s">
        <v>158</v>
      </c>
      <c r="M27" s="8"/>
      <c r="N27" s="8"/>
      <c r="O27" s="17">
        <v>12000</v>
      </c>
    </row>
    <row r="28" spans="2:33" x14ac:dyDescent="0.2">
      <c r="B28" s="11" t="s">
        <v>21</v>
      </c>
      <c r="C28" s="6">
        <v>150</v>
      </c>
      <c r="D28" s="6" t="s">
        <v>62</v>
      </c>
      <c r="E28" s="6" t="s">
        <v>63</v>
      </c>
      <c r="L28" s="6"/>
      <c r="M28" s="6"/>
      <c r="N28" s="6"/>
      <c r="O28" s="6"/>
    </row>
    <row r="29" spans="2:33" ht="19" x14ac:dyDescent="0.25">
      <c r="B29" s="11" t="s">
        <v>64</v>
      </c>
      <c r="C29" s="14">
        <f>C28*12</f>
        <v>1800</v>
      </c>
      <c r="D29" s="6" t="s">
        <v>65</v>
      </c>
      <c r="E29" s="6" t="s">
        <v>66</v>
      </c>
      <c r="L29" s="18" t="s">
        <v>159</v>
      </c>
      <c r="M29" s="19"/>
      <c r="N29" s="19"/>
      <c r="O29" s="36">
        <f>SUM(O8+O15+O20+O25+O27)</f>
        <v>142440</v>
      </c>
    </row>
    <row r="30" spans="2:33" x14ac:dyDescent="0.2">
      <c r="B30" s="11" t="s">
        <v>67</v>
      </c>
      <c r="C30" s="6">
        <v>5</v>
      </c>
      <c r="D30" s="6" t="s">
        <v>51</v>
      </c>
      <c r="E30" s="6" t="s">
        <v>68</v>
      </c>
    </row>
    <row r="31" spans="2:33" ht="19" x14ac:dyDescent="0.25">
      <c r="B31" s="11" t="s">
        <v>69</v>
      </c>
      <c r="C31" s="6">
        <f>C28/5</f>
        <v>30</v>
      </c>
      <c r="D31" s="6" t="s">
        <v>70</v>
      </c>
      <c r="E31" s="6" t="s">
        <v>71</v>
      </c>
      <c r="L31" s="20" t="s">
        <v>170</v>
      </c>
    </row>
    <row r="32" spans="2:33" x14ac:dyDescent="0.2">
      <c r="B32" s="11" t="s">
        <v>72</v>
      </c>
      <c r="C32" s="6" t="s">
        <v>73</v>
      </c>
      <c r="D32" s="6" t="s">
        <v>74</v>
      </c>
      <c r="E32" s="6" t="s">
        <v>75</v>
      </c>
      <c r="L32" s="10" t="s">
        <v>1</v>
      </c>
      <c r="M32" s="10" t="s">
        <v>161</v>
      </c>
      <c r="N32" s="10" t="s">
        <v>162</v>
      </c>
      <c r="O32" s="10" t="s">
        <v>163</v>
      </c>
      <c r="P32" s="10" t="s">
        <v>164</v>
      </c>
      <c r="Q32" s="10" t="s">
        <v>165</v>
      </c>
      <c r="R32" s="10" t="s">
        <v>166</v>
      </c>
    </row>
    <row r="33" spans="2:18" x14ac:dyDescent="0.2">
      <c r="L33" s="11" t="s">
        <v>167</v>
      </c>
      <c r="M33" s="14">
        <f>O8</f>
        <v>110000</v>
      </c>
      <c r="N33" s="7">
        <v>0.03</v>
      </c>
      <c r="O33" s="14">
        <f>M33*(1+$N33)</f>
        <v>113300</v>
      </c>
      <c r="P33" s="14">
        <f>(1+$N33)*(O33)</f>
        <v>116699</v>
      </c>
      <c r="Q33" s="14">
        <f t="shared" ref="Q33:R34" si="3">(1+$N33)*(P33)</f>
        <v>120199.97</v>
      </c>
      <c r="R33" s="14">
        <f t="shared" si="3"/>
        <v>123805.9691</v>
      </c>
    </row>
    <row r="34" spans="2:18" ht="19" x14ac:dyDescent="0.25">
      <c r="B34" s="12" t="s">
        <v>76</v>
      </c>
      <c r="C34" s="3"/>
      <c r="L34" s="11" t="s">
        <v>35</v>
      </c>
      <c r="M34" s="14">
        <f>O15</f>
        <v>10440</v>
      </c>
      <c r="N34" s="7">
        <v>0.15</v>
      </c>
      <c r="O34" s="14">
        <f t="shared" ref="O34:O37" si="4">M34*(1+$N34)</f>
        <v>12005.999999999998</v>
      </c>
      <c r="P34" s="14">
        <f>(1+$N34)*(O34)</f>
        <v>13806.899999999996</v>
      </c>
      <c r="Q34" s="14">
        <f t="shared" si="3"/>
        <v>15877.934999999994</v>
      </c>
      <c r="R34" s="14">
        <f t="shared" si="3"/>
        <v>18259.62524999999</v>
      </c>
    </row>
    <row r="35" spans="2:18" x14ac:dyDescent="0.2">
      <c r="B35" s="10" t="s">
        <v>23</v>
      </c>
      <c r="C35" s="10" t="s">
        <v>2</v>
      </c>
      <c r="D35" s="10" t="s">
        <v>24</v>
      </c>
      <c r="E35" s="10" t="s">
        <v>77</v>
      </c>
      <c r="F35" s="2"/>
      <c r="K35" s="2"/>
      <c r="L35" s="11" t="s">
        <v>152</v>
      </c>
      <c r="M35" s="14">
        <f>O20</f>
        <v>3000</v>
      </c>
      <c r="N35" s="7">
        <v>0.02</v>
      </c>
      <c r="O35" s="14">
        <f t="shared" si="4"/>
        <v>3060</v>
      </c>
      <c r="P35" s="14">
        <f t="shared" ref="P35:R37" si="5">(1+$N35)*(O35)</f>
        <v>3121.2000000000003</v>
      </c>
      <c r="Q35" s="14">
        <f t="shared" si="5"/>
        <v>3183.6240000000003</v>
      </c>
      <c r="R35" s="14">
        <f t="shared" si="5"/>
        <v>3247.2964800000004</v>
      </c>
    </row>
    <row r="36" spans="2:18" x14ac:dyDescent="0.2">
      <c r="B36" s="11" t="s">
        <v>9</v>
      </c>
      <c r="C36" s="14">
        <v>80000</v>
      </c>
      <c r="D36" s="6" t="s">
        <v>74</v>
      </c>
      <c r="E36" s="6" t="s">
        <v>78</v>
      </c>
      <c r="L36" s="11" t="s">
        <v>168</v>
      </c>
      <c r="M36" s="14">
        <f>O25</f>
        <v>7000</v>
      </c>
      <c r="N36" s="7">
        <v>0.02</v>
      </c>
      <c r="O36" s="14">
        <f t="shared" si="4"/>
        <v>7140</v>
      </c>
      <c r="P36" s="14">
        <f t="shared" si="5"/>
        <v>7282.8</v>
      </c>
      <c r="Q36" s="14">
        <f t="shared" si="5"/>
        <v>7428.4560000000001</v>
      </c>
      <c r="R36" s="14">
        <f t="shared" si="5"/>
        <v>7577.0251200000002</v>
      </c>
    </row>
    <row r="37" spans="2:18" x14ac:dyDescent="0.2">
      <c r="B37" s="11" t="s">
        <v>79</v>
      </c>
      <c r="C37" s="14">
        <v>15000</v>
      </c>
      <c r="D37" s="6" t="s">
        <v>74</v>
      </c>
      <c r="E37" s="6" t="s">
        <v>80</v>
      </c>
      <c r="L37" s="11" t="s">
        <v>6</v>
      </c>
      <c r="M37" s="14">
        <f>O27</f>
        <v>12000</v>
      </c>
      <c r="N37" s="7">
        <v>0.02</v>
      </c>
      <c r="O37" s="14">
        <f t="shared" si="4"/>
        <v>12240</v>
      </c>
      <c r="P37" s="14">
        <f t="shared" si="5"/>
        <v>12484.800000000001</v>
      </c>
      <c r="Q37" s="14">
        <f t="shared" si="5"/>
        <v>12734.496000000001</v>
      </c>
      <c r="R37" s="14">
        <f t="shared" si="5"/>
        <v>12989.185920000002</v>
      </c>
    </row>
    <row r="38" spans="2:18" x14ac:dyDescent="0.2">
      <c r="B38" s="11" t="s">
        <v>10</v>
      </c>
      <c r="C38" s="14">
        <v>5000</v>
      </c>
      <c r="D38" s="6" t="s">
        <v>74</v>
      </c>
      <c r="E38" s="6" t="s">
        <v>80</v>
      </c>
      <c r="L38" s="10" t="s">
        <v>169</v>
      </c>
      <c r="M38" s="16">
        <f>SUM(M33:M37)</f>
        <v>142440</v>
      </c>
      <c r="N38" s="16"/>
      <c r="O38" s="16">
        <f t="shared" ref="O38" si="6">SUM(O33:O37)</f>
        <v>147746</v>
      </c>
      <c r="P38" s="16">
        <f>SUM(P33:P37)</f>
        <v>153394.69999999998</v>
      </c>
      <c r="Q38" s="16">
        <f>SUM(Q33:Q37)</f>
        <v>159424.48100000003</v>
      </c>
      <c r="R38" s="16">
        <f>SUM(R33:R37)</f>
        <v>165879.10186999998</v>
      </c>
    </row>
    <row r="39" spans="2:18" x14ac:dyDescent="0.2">
      <c r="B39" s="11" t="s">
        <v>81</v>
      </c>
      <c r="C39" s="14">
        <v>7500</v>
      </c>
      <c r="D39" s="6" t="s">
        <v>74</v>
      </c>
      <c r="E39" s="6" t="s">
        <v>78</v>
      </c>
    </row>
    <row r="40" spans="2:18" x14ac:dyDescent="0.2">
      <c r="B40" s="11" t="s">
        <v>82</v>
      </c>
      <c r="C40" s="14">
        <v>6000</v>
      </c>
      <c r="D40" s="6" t="s">
        <v>74</v>
      </c>
      <c r="E40" s="6" t="s">
        <v>80</v>
      </c>
    </row>
    <row r="41" spans="2:18" ht="19" x14ac:dyDescent="0.25">
      <c r="B41" s="11" t="s">
        <v>11</v>
      </c>
      <c r="C41" s="14">
        <v>15000</v>
      </c>
      <c r="D41" s="6" t="s">
        <v>74</v>
      </c>
      <c r="E41" s="6" t="s">
        <v>80</v>
      </c>
      <c r="L41" s="12" t="s">
        <v>171</v>
      </c>
    </row>
    <row r="42" spans="2:18" x14ac:dyDescent="0.2">
      <c r="B42" s="11" t="s">
        <v>83</v>
      </c>
      <c r="C42" s="14">
        <v>25000</v>
      </c>
      <c r="D42" s="6" t="s">
        <v>74</v>
      </c>
      <c r="E42" s="6" t="s">
        <v>84</v>
      </c>
      <c r="L42" s="10" t="s">
        <v>23</v>
      </c>
      <c r="M42" s="10" t="s">
        <v>2</v>
      </c>
      <c r="N42" s="2"/>
      <c r="O42" s="2"/>
    </row>
    <row r="43" spans="2:18" x14ac:dyDescent="0.2">
      <c r="B43" s="8" t="s">
        <v>85</v>
      </c>
      <c r="C43" s="17">
        <f>SUM(C36:C42)</f>
        <v>153500</v>
      </c>
      <c r="D43" s="11" t="s">
        <v>74</v>
      </c>
      <c r="E43" s="6"/>
      <c r="L43" s="11" t="s">
        <v>172</v>
      </c>
      <c r="M43" s="21">
        <f>C53</f>
        <v>10</v>
      </c>
    </row>
    <row r="44" spans="2:18" ht="17" x14ac:dyDescent="0.25">
      <c r="C44" s="4"/>
      <c r="L44" s="11" t="s">
        <v>173</v>
      </c>
      <c r="M44" s="21">
        <f>M43*12</f>
        <v>120</v>
      </c>
    </row>
    <row r="45" spans="2:18" ht="19" x14ac:dyDescent="0.25">
      <c r="B45" s="12" t="s">
        <v>86</v>
      </c>
      <c r="L45" s="11" t="s">
        <v>174</v>
      </c>
      <c r="M45" s="23" t="s">
        <v>175</v>
      </c>
    </row>
    <row r="46" spans="2:18" x14ac:dyDescent="0.2">
      <c r="B46" s="10" t="s">
        <v>23</v>
      </c>
      <c r="C46" s="10" t="s">
        <v>2</v>
      </c>
      <c r="D46" s="10" t="s">
        <v>24</v>
      </c>
      <c r="E46" s="10" t="s">
        <v>77</v>
      </c>
    </row>
    <row r="47" spans="2:18" ht="19" x14ac:dyDescent="0.25">
      <c r="B47" s="11" t="s">
        <v>3</v>
      </c>
      <c r="C47" s="14">
        <v>110000</v>
      </c>
      <c r="D47" s="6" t="s">
        <v>65</v>
      </c>
      <c r="E47" s="6" t="s">
        <v>87</v>
      </c>
      <c r="L47" s="20" t="s">
        <v>180</v>
      </c>
    </row>
    <row r="48" spans="2:18" x14ac:dyDescent="0.2">
      <c r="B48" s="11" t="s">
        <v>4</v>
      </c>
      <c r="C48" s="14">
        <v>10440</v>
      </c>
      <c r="D48" s="6" t="s">
        <v>65</v>
      </c>
      <c r="E48" s="6" t="s">
        <v>88</v>
      </c>
      <c r="L48" s="10" t="s">
        <v>176</v>
      </c>
      <c r="M48" s="11">
        <v>1</v>
      </c>
      <c r="N48" s="11">
        <v>2</v>
      </c>
      <c r="O48" s="11">
        <v>3</v>
      </c>
      <c r="P48" s="11">
        <v>4</v>
      </c>
      <c r="Q48" s="11">
        <v>5</v>
      </c>
    </row>
    <row r="49" spans="2:17" x14ac:dyDescent="0.2">
      <c r="B49" s="11" t="s">
        <v>5</v>
      </c>
      <c r="C49" s="14">
        <v>3000</v>
      </c>
      <c r="D49" s="6" t="s">
        <v>65</v>
      </c>
      <c r="E49" s="6" t="s">
        <v>87</v>
      </c>
      <c r="L49" s="10" t="s">
        <v>177</v>
      </c>
      <c r="M49" s="6">
        <f>C18</f>
        <v>20</v>
      </c>
      <c r="N49" s="22">
        <f>M49*(1+$C$19)</f>
        <v>28</v>
      </c>
      <c r="O49" s="22">
        <f t="shared" ref="O49:Q49" si="7">N49*(1+$C$19)</f>
        <v>39.199999999999996</v>
      </c>
      <c r="P49" s="22">
        <f t="shared" si="7"/>
        <v>54.879999999999988</v>
      </c>
      <c r="Q49" s="22">
        <f t="shared" si="7"/>
        <v>76.831999999999979</v>
      </c>
    </row>
    <row r="50" spans="2:17" x14ac:dyDescent="0.2">
      <c r="B50" s="11" t="s">
        <v>89</v>
      </c>
      <c r="C50" s="14">
        <v>7000</v>
      </c>
      <c r="D50" s="6" t="s">
        <v>65</v>
      </c>
      <c r="E50" s="6" t="s">
        <v>87</v>
      </c>
      <c r="L50" s="10" t="s">
        <v>178</v>
      </c>
      <c r="M50" s="6">
        <v>120</v>
      </c>
      <c r="N50" s="6">
        <v>120</v>
      </c>
      <c r="O50" s="6">
        <v>120</v>
      </c>
      <c r="P50" s="6">
        <v>120</v>
      </c>
      <c r="Q50" s="6">
        <v>120</v>
      </c>
    </row>
    <row r="51" spans="2:17" x14ac:dyDescent="0.2">
      <c r="B51" s="11" t="s">
        <v>90</v>
      </c>
      <c r="C51" s="14">
        <v>12000</v>
      </c>
      <c r="D51" s="6" t="s">
        <v>65</v>
      </c>
      <c r="E51" s="6" t="s">
        <v>87</v>
      </c>
      <c r="L51" s="10" t="s">
        <v>179</v>
      </c>
      <c r="M51" s="8">
        <f>M49*M50</f>
        <v>2400</v>
      </c>
      <c r="N51" s="24">
        <f t="shared" ref="N51:Q51" si="8">N49*N50</f>
        <v>3360</v>
      </c>
      <c r="O51" s="24">
        <f t="shared" si="8"/>
        <v>4703.9999999999991</v>
      </c>
      <c r="P51" s="24">
        <f t="shared" si="8"/>
        <v>6585.5999999999985</v>
      </c>
      <c r="Q51" s="24">
        <f t="shared" si="8"/>
        <v>9219.8399999999983</v>
      </c>
    </row>
    <row r="52" spans="2:17" x14ac:dyDescent="0.2">
      <c r="B52" s="11"/>
      <c r="C52" s="14"/>
      <c r="D52" s="6"/>
      <c r="E52" s="6"/>
    </row>
    <row r="53" spans="2:17" x14ac:dyDescent="0.2">
      <c r="B53" s="11" t="s">
        <v>91</v>
      </c>
      <c r="C53" s="6">
        <v>10</v>
      </c>
      <c r="D53" s="6" t="s">
        <v>92</v>
      </c>
      <c r="E53" s="6" t="s">
        <v>93</v>
      </c>
      <c r="O53" s="13"/>
    </row>
    <row r="54" spans="2:17" x14ac:dyDescent="0.2">
      <c r="B54" s="11" t="s">
        <v>94</v>
      </c>
      <c r="C54" s="6">
        <v>120</v>
      </c>
      <c r="D54" s="6" t="s">
        <v>95</v>
      </c>
      <c r="E54" s="6" t="s">
        <v>93</v>
      </c>
      <c r="O54" s="13"/>
    </row>
    <row r="55" spans="2:17" x14ac:dyDescent="0.2">
      <c r="B55" s="11" t="s">
        <v>96</v>
      </c>
      <c r="C55" s="7">
        <v>0.03</v>
      </c>
      <c r="D55" s="6" t="s">
        <v>48</v>
      </c>
      <c r="E55" s="6" t="s">
        <v>97</v>
      </c>
      <c r="O55" s="13"/>
    </row>
    <row r="56" spans="2:17" x14ac:dyDescent="0.2">
      <c r="B56" s="11" t="s">
        <v>7</v>
      </c>
      <c r="C56" s="7">
        <v>0.15</v>
      </c>
      <c r="D56" s="6" t="s">
        <v>48</v>
      </c>
      <c r="E56" s="6" t="s">
        <v>98</v>
      </c>
      <c r="O56" s="13"/>
    </row>
    <row r="57" spans="2:17" x14ac:dyDescent="0.2">
      <c r="B57" s="11" t="s">
        <v>8</v>
      </c>
      <c r="C57" s="7">
        <v>0.02</v>
      </c>
      <c r="D57" s="6" t="s">
        <v>48</v>
      </c>
      <c r="E57" s="6" t="s">
        <v>99</v>
      </c>
      <c r="O57" s="13"/>
    </row>
    <row r="59" spans="2:17" ht="19" x14ac:dyDescent="0.25">
      <c r="B59" s="12" t="s">
        <v>100</v>
      </c>
    </row>
    <row r="60" spans="2:17" x14ac:dyDescent="0.2">
      <c r="B60" s="10" t="s">
        <v>23</v>
      </c>
      <c r="C60" s="10" t="s">
        <v>2</v>
      </c>
      <c r="D60" s="10" t="s">
        <v>24</v>
      </c>
      <c r="E60" s="10" t="s">
        <v>77</v>
      </c>
      <c r="F60" s="6"/>
      <c r="H60" s="2"/>
    </row>
    <row r="61" spans="2:17" x14ac:dyDescent="0.2">
      <c r="B61" s="11" t="s">
        <v>101</v>
      </c>
      <c r="C61" s="27">
        <v>0.25</v>
      </c>
      <c r="D61" s="28"/>
      <c r="E61" s="28" t="s">
        <v>102</v>
      </c>
      <c r="F61" s="6"/>
    </row>
    <row r="62" spans="2:17" x14ac:dyDescent="0.2">
      <c r="B62" s="11" t="s">
        <v>13</v>
      </c>
      <c r="C62" s="25">
        <v>5</v>
      </c>
      <c r="D62" s="6" t="s">
        <v>26</v>
      </c>
      <c r="E62" s="6" t="s">
        <v>103</v>
      </c>
      <c r="F62" s="6"/>
    </row>
    <row r="63" spans="2:17" x14ac:dyDescent="0.2">
      <c r="B63" s="11" t="s">
        <v>104</v>
      </c>
      <c r="C63" s="26">
        <f>C36/C62</f>
        <v>16000</v>
      </c>
      <c r="D63" s="6" t="s">
        <v>65</v>
      </c>
      <c r="E63" s="6"/>
      <c r="F63" s="6" t="s">
        <v>105</v>
      </c>
    </row>
    <row r="64" spans="2:17" x14ac:dyDescent="0.2">
      <c r="B64" s="11" t="s">
        <v>14</v>
      </c>
      <c r="C64" s="25">
        <v>4</v>
      </c>
      <c r="D64" s="6" t="s">
        <v>26</v>
      </c>
      <c r="E64" s="6" t="s">
        <v>103</v>
      </c>
      <c r="F64" s="6"/>
    </row>
    <row r="65" spans="2:6" x14ac:dyDescent="0.2">
      <c r="B65" s="11" t="s">
        <v>106</v>
      </c>
      <c r="C65" s="26">
        <f>C39/C64</f>
        <v>1875</v>
      </c>
      <c r="D65" s="6" t="s">
        <v>65</v>
      </c>
      <c r="E65" s="6"/>
      <c r="F65" s="6" t="s">
        <v>107</v>
      </c>
    </row>
    <row r="66" spans="2:6" x14ac:dyDescent="0.2">
      <c r="B66" s="11" t="s">
        <v>108</v>
      </c>
      <c r="C66" s="26">
        <f>C65+C63</f>
        <v>17875</v>
      </c>
      <c r="D66" s="6" t="s">
        <v>65</v>
      </c>
      <c r="E66" s="6" t="s">
        <v>110</v>
      </c>
      <c r="F66" s="6" t="s">
        <v>109</v>
      </c>
    </row>
    <row r="67" spans="2:6" x14ac:dyDescent="0.2">
      <c r="B67" s="11" t="s">
        <v>111</v>
      </c>
      <c r="C67" s="26">
        <f>C42</f>
        <v>25000</v>
      </c>
      <c r="D67" s="6" t="s">
        <v>74</v>
      </c>
      <c r="E67" s="6" t="s">
        <v>112</v>
      </c>
      <c r="F67" s="6"/>
    </row>
    <row r="68" spans="2:6" x14ac:dyDescent="0.2">
      <c r="B68" s="11" t="s">
        <v>16</v>
      </c>
      <c r="C68" s="26">
        <v>1500</v>
      </c>
      <c r="D68" s="6" t="s">
        <v>74</v>
      </c>
      <c r="E68" s="6" t="s">
        <v>112</v>
      </c>
      <c r="F68" s="6" t="s">
        <v>113</v>
      </c>
    </row>
    <row r="70" spans="2:6" ht="19" x14ac:dyDescent="0.25">
      <c r="B70" s="12" t="s">
        <v>114</v>
      </c>
    </row>
    <row r="71" spans="2:6" x14ac:dyDescent="0.2">
      <c r="B71" s="10" t="s">
        <v>23</v>
      </c>
      <c r="C71" s="10" t="s">
        <v>2</v>
      </c>
      <c r="D71" s="9"/>
      <c r="F71" s="2"/>
    </row>
    <row r="72" spans="2:6" x14ac:dyDescent="0.2">
      <c r="B72" s="11" t="s">
        <v>12</v>
      </c>
      <c r="C72" s="14">
        <f>C43</f>
        <v>153500</v>
      </c>
      <c r="D72" s="6"/>
    </row>
    <row r="73" spans="2:6" x14ac:dyDescent="0.2">
      <c r="B73" s="11" t="s">
        <v>18</v>
      </c>
      <c r="C73" s="14">
        <f>C72*C74</f>
        <v>61400</v>
      </c>
      <c r="D73" s="6" t="s">
        <v>115</v>
      </c>
    </row>
    <row r="74" spans="2:6" x14ac:dyDescent="0.2">
      <c r="B74" s="11" t="s">
        <v>116</v>
      </c>
      <c r="C74" s="7">
        <v>0.4</v>
      </c>
      <c r="D74" s="6"/>
    </row>
    <row r="75" spans="2:6" x14ac:dyDescent="0.2">
      <c r="B75" s="11" t="s">
        <v>117</v>
      </c>
      <c r="C75" s="14">
        <f>C72-C73</f>
        <v>92100</v>
      </c>
      <c r="D75" s="6" t="s">
        <v>118</v>
      </c>
    </row>
    <row r="76" spans="2:6" x14ac:dyDescent="0.2">
      <c r="B76" s="11" t="s">
        <v>119</v>
      </c>
      <c r="C76" s="7">
        <v>0.6</v>
      </c>
      <c r="D76" s="6"/>
    </row>
    <row r="77" spans="2:6" x14ac:dyDescent="0.2">
      <c r="B77" s="11" t="s">
        <v>120</v>
      </c>
      <c r="C77" s="7">
        <v>0.05</v>
      </c>
      <c r="D77" s="6"/>
    </row>
    <row r="78" spans="2:6" x14ac:dyDescent="0.2">
      <c r="B78" s="11" t="s">
        <v>20</v>
      </c>
      <c r="C78" s="6">
        <v>5</v>
      </c>
      <c r="D78" s="6"/>
    </row>
    <row r="79" spans="2:6" x14ac:dyDescent="0.2">
      <c r="B79" s="11" t="s">
        <v>121</v>
      </c>
      <c r="C79" s="6" t="s">
        <v>122</v>
      </c>
      <c r="D79" s="6"/>
    </row>
    <row r="80" spans="2:6" x14ac:dyDescent="0.2">
      <c r="B80" s="11" t="s">
        <v>230</v>
      </c>
      <c r="C80" s="15">
        <v>0.12</v>
      </c>
      <c r="D80" s="6"/>
    </row>
    <row r="81" spans="2:35" x14ac:dyDescent="0.2">
      <c r="B81" s="11" t="s">
        <v>223</v>
      </c>
      <c r="C81" s="15">
        <f>(1 + C80) / (1 + C82) - 1</f>
        <v>8.7378640776699212E-2</v>
      </c>
      <c r="D81" s="6"/>
    </row>
    <row r="82" spans="2:35" x14ac:dyDescent="0.2">
      <c r="B82" s="11" t="s">
        <v>224</v>
      </c>
      <c r="C82" s="15">
        <v>0.03</v>
      </c>
      <c r="D82" s="6"/>
    </row>
    <row r="83" spans="2:35" x14ac:dyDescent="0.2">
      <c r="B83" s="11" t="s">
        <v>225</v>
      </c>
      <c r="C83" s="15">
        <v>0.05</v>
      </c>
      <c r="D83" s="6"/>
    </row>
    <row r="84" spans="2:35" x14ac:dyDescent="0.2">
      <c r="B84" s="11" t="s">
        <v>226</v>
      </c>
      <c r="C84" s="15">
        <v>3.7499999999999999E-2</v>
      </c>
      <c r="D84" s="6" t="s">
        <v>123</v>
      </c>
    </row>
    <row r="85" spans="2:35" x14ac:dyDescent="0.2">
      <c r="B85" s="61" t="s">
        <v>227</v>
      </c>
      <c r="C85" s="15">
        <f>(1 + C83) / (1 + C82) - 1</f>
        <v>1.9417475728155331E-2</v>
      </c>
      <c r="D85" s="6"/>
    </row>
    <row r="86" spans="2:35" x14ac:dyDescent="0.2">
      <c r="B86" s="11" t="s">
        <v>228</v>
      </c>
      <c r="C86" s="15">
        <f>C85 * (1 - C82)</f>
        <v>1.8834951456310672E-2</v>
      </c>
      <c r="D86" s="6"/>
    </row>
    <row r="87" spans="2:35" x14ac:dyDescent="0.2">
      <c r="B87" s="11" t="s">
        <v>229</v>
      </c>
      <c r="C87" s="15">
        <f>40% * 8.74 % + 60% * 1.94 % * 75 %</f>
        <v>4.3690000000000007E-2</v>
      </c>
      <c r="D87" s="6" t="s">
        <v>124</v>
      </c>
    </row>
    <row r="88" spans="2:35" x14ac:dyDescent="0.2">
      <c r="B88" s="49"/>
      <c r="C88" s="44"/>
      <c r="D88" s="45"/>
    </row>
    <row r="90" spans="2:35" x14ac:dyDescent="0.2"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40"/>
    </row>
    <row r="91" spans="2:35" x14ac:dyDescent="0.2"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3"/>
    </row>
    <row r="94" spans="2:35" ht="22" x14ac:dyDescent="0.3">
      <c r="B94" s="46" t="s">
        <v>198</v>
      </c>
      <c r="C94" s="46"/>
      <c r="D94" s="46"/>
      <c r="E94" s="46"/>
    </row>
    <row r="96" spans="2:35" x14ac:dyDescent="0.2">
      <c r="B96" s="47"/>
      <c r="C96" s="52">
        <v>0</v>
      </c>
      <c r="D96" s="53">
        <v>1</v>
      </c>
      <c r="E96" s="53">
        <v>2</v>
      </c>
      <c r="F96" s="53">
        <v>3</v>
      </c>
      <c r="G96" s="53">
        <v>4</v>
      </c>
      <c r="H96" s="47">
        <v>5</v>
      </c>
    </row>
    <row r="97" spans="2:9" x14ac:dyDescent="0.2">
      <c r="B97" s="8" t="s">
        <v>203</v>
      </c>
      <c r="C97" s="6"/>
      <c r="D97" s="6">
        <f>U8</f>
        <v>92876.046730171875</v>
      </c>
      <c r="E97" s="6">
        <f>V8</f>
        <v>130026.46542224061</v>
      </c>
      <c r="F97" s="6">
        <f>W8</f>
        <v>182037.05159113687</v>
      </c>
      <c r="G97" s="6">
        <f>X8</f>
        <v>254851.87222759158</v>
      </c>
      <c r="H97" s="6">
        <f>Y8</f>
        <v>356792.62111862819</v>
      </c>
      <c r="I97" s="45"/>
    </row>
    <row r="98" spans="2:9" x14ac:dyDescent="0.2">
      <c r="B98" s="8" t="s">
        <v>204</v>
      </c>
      <c r="C98" s="6"/>
      <c r="D98" s="6">
        <f>D99+D100</f>
        <v>144840</v>
      </c>
      <c r="E98" s="6">
        <f t="shared" ref="E98:H98" si="9">E99+E100</f>
        <v>151106</v>
      </c>
      <c r="F98" s="6">
        <f t="shared" si="9"/>
        <v>158098.69999999998</v>
      </c>
      <c r="G98" s="6">
        <f t="shared" si="9"/>
        <v>166010.08100000003</v>
      </c>
      <c r="H98" s="6">
        <f t="shared" si="9"/>
        <v>175098.94186999998</v>
      </c>
      <c r="I98" s="45"/>
    </row>
    <row r="99" spans="2:9" x14ac:dyDescent="0.2">
      <c r="B99" s="11" t="s">
        <v>205</v>
      </c>
      <c r="C99" s="6"/>
      <c r="D99" s="14">
        <f>M38</f>
        <v>142440</v>
      </c>
      <c r="E99" s="14">
        <f>O38</f>
        <v>147746</v>
      </c>
      <c r="F99" s="14">
        <f>P38</f>
        <v>153394.69999999998</v>
      </c>
      <c r="G99" s="14">
        <f>Q38</f>
        <v>159424.48100000003</v>
      </c>
      <c r="H99" s="14">
        <f>R38</f>
        <v>165879.10186999998</v>
      </c>
      <c r="I99" s="45"/>
    </row>
    <row r="100" spans="2:9" x14ac:dyDescent="0.2">
      <c r="B100" s="11" t="s">
        <v>206</v>
      </c>
      <c r="C100" s="6"/>
      <c r="D100" s="6">
        <f>M51</f>
        <v>2400</v>
      </c>
      <c r="E100" s="6">
        <f>N51</f>
        <v>3360</v>
      </c>
      <c r="F100" s="6">
        <f>O51</f>
        <v>4703.9999999999991</v>
      </c>
      <c r="G100" s="6">
        <f>P51</f>
        <v>6585.5999999999985</v>
      </c>
      <c r="H100" s="6">
        <f>Q51</f>
        <v>9219.8399999999983</v>
      </c>
      <c r="I100" s="45"/>
    </row>
    <row r="101" spans="2:9" x14ac:dyDescent="0.2">
      <c r="B101" s="11" t="s">
        <v>207</v>
      </c>
      <c r="C101" s="6"/>
      <c r="D101" s="14">
        <f>$C$66</f>
        <v>17875</v>
      </c>
      <c r="E101" s="14">
        <f t="shared" ref="E101:H101" si="10">$C$66</f>
        <v>17875</v>
      </c>
      <c r="F101" s="14">
        <f t="shared" si="10"/>
        <v>17875</v>
      </c>
      <c r="G101" s="14">
        <f t="shared" si="10"/>
        <v>17875</v>
      </c>
      <c r="H101" s="14">
        <f t="shared" si="10"/>
        <v>17875</v>
      </c>
      <c r="I101" s="45"/>
    </row>
    <row r="102" spans="2:9" x14ac:dyDescent="0.2">
      <c r="B102" s="11"/>
      <c r="C102" s="6"/>
      <c r="D102" s="6"/>
      <c r="E102" s="6"/>
      <c r="F102" s="6"/>
      <c r="G102" s="6"/>
      <c r="H102" s="6"/>
      <c r="I102" s="45"/>
    </row>
    <row r="103" spans="2:9" x14ac:dyDescent="0.2">
      <c r="B103" s="8" t="s">
        <v>208</v>
      </c>
      <c r="C103" s="6"/>
      <c r="D103" s="14">
        <f>D97-D98-D101</f>
        <v>-69838.953269828125</v>
      </c>
      <c r="E103" s="14">
        <f t="shared" ref="E103:H103" si="11">E97-E98-E101</f>
        <v>-38954.53457775939</v>
      </c>
      <c r="F103" s="14">
        <f t="shared" si="11"/>
        <v>6063.3515911368886</v>
      </c>
      <c r="G103" s="14">
        <f t="shared" si="11"/>
        <v>70966.791227591544</v>
      </c>
      <c r="H103" s="14">
        <f t="shared" si="11"/>
        <v>163818.67924862821</v>
      </c>
      <c r="I103" s="45"/>
    </row>
    <row r="104" spans="2:9" x14ac:dyDescent="0.2">
      <c r="B104" s="11" t="s">
        <v>17</v>
      </c>
      <c r="C104" s="6"/>
      <c r="D104" s="48" t="s">
        <v>212</v>
      </c>
      <c r="E104" s="48" t="s">
        <v>212</v>
      </c>
      <c r="F104" s="48" t="s">
        <v>212</v>
      </c>
      <c r="G104" s="48" t="s">
        <v>212</v>
      </c>
      <c r="H104" s="48" t="s">
        <v>212</v>
      </c>
      <c r="I104" s="45"/>
    </row>
    <row r="105" spans="2:9" x14ac:dyDescent="0.2">
      <c r="B105" s="8" t="s">
        <v>209</v>
      </c>
      <c r="C105" s="6"/>
      <c r="D105" s="14">
        <f>D103</f>
        <v>-69838.953269828125</v>
      </c>
      <c r="E105" s="14">
        <f t="shared" ref="E105:H105" si="12">E103</f>
        <v>-38954.53457775939</v>
      </c>
      <c r="F105" s="14">
        <f t="shared" si="12"/>
        <v>6063.3515911368886</v>
      </c>
      <c r="G105" s="14">
        <f t="shared" si="12"/>
        <v>70966.791227591544</v>
      </c>
      <c r="H105" s="14">
        <f t="shared" si="12"/>
        <v>163818.67924862821</v>
      </c>
      <c r="I105" s="45"/>
    </row>
    <row r="106" spans="2:9" x14ac:dyDescent="0.2">
      <c r="B106" s="11"/>
      <c r="C106" s="6"/>
      <c r="D106" s="6"/>
      <c r="E106" s="6"/>
      <c r="F106" s="6"/>
      <c r="G106" s="6"/>
      <c r="H106" s="6"/>
      <c r="I106" s="45"/>
    </row>
    <row r="107" spans="2:9" x14ac:dyDescent="0.2">
      <c r="B107" s="11" t="s">
        <v>210</v>
      </c>
      <c r="C107" s="6"/>
      <c r="D107" s="14">
        <f>D101</f>
        <v>17875</v>
      </c>
      <c r="E107" s="14">
        <f t="shared" ref="E107:H107" si="13">E101</f>
        <v>17875</v>
      </c>
      <c r="F107" s="14">
        <f t="shared" si="13"/>
        <v>17875</v>
      </c>
      <c r="G107" s="14">
        <f t="shared" si="13"/>
        <v>17875</v>
      </c>
      <c r="H107" s="14">
        <f t="shared" si="13"/>
        <v>17875</v>
      </c>
      <c r="I107" s="45"/>
    </row>
    <row r="108" spans="2:9" x14ac:dyDescent="0.2">
      <c r="B108" s="11"/>
      <c r="C108" s="6"/>
      <c r="D108" s="6"/>
      <c r="E108" s="6"/>
      <c r="F108" s="6"/>
      <c r="G108" s="6"/>
      <c r="H108" s="6"/>
      <c r="I108" s="45"/>
    </row>
    <row r="109" spans="2:9" x14ac:dyDescent="0.2">
      <c r="B109" s="8" t="s">
        <v>211</v>
      </c>
      <c r="C109" s="14">
        <f>C72</f>
        <v>153500</v>
      </c>
      <c r="D109" s="6"/>
      <c r="E109" s="6"/>
      <c r="F109" s="6"/>
      <c r="G109" s="6"/>
      <c r="H109" s="6"/>
      <c r="I109" s="45"/>
    </row>
    <row r="110" spans="2:9" x14ac:dyDescent="0.2">
      <c r="B110" s="8" t="s">
        <v>111</v>
      </c>
      <c r="C110" s="6"/>
      <c r="D110" s="6"/>
      <c r="E110" s="6"/>
      <c r="F110" s="6"/>
      <c r="G110" s="6"/>
      <c r="H110" s="14">
        <f>C67</f>
        <v>25000</v>
      </c>
      <c r="I110" s="45"/>
    </row>
    <row r="111" spans="2:9" x14ac:dyDescent="0.2">
      <c r="B111" s="8" t="s">
        <v>16</v>
      </c>
      <c r="C111" s="6"/>
      <c r="D111" s="6"/>
      <c r="E111" s="6"/>
      <c r="F111" s="6"/>
      <c r="G111" s="6"/>
      <c r="H111" s="14">
        <f>C68</f>
        <v>1500</v>
      </c>
      <c r="I111" s="45"/>
    </row>
    <row r="112" spans="2:9" x14ac:dyDescent="0.2">
      <c r="B112" s="11"/>
      <c r="C112" s="6"/>
      <c r="D112" s="6"/>
      <c r="E112" s="6"/>
      <c r="F112" s="6"/>
      <c r="G112" s="6"/>
      <c r="H112" s="6"/>
      <c r="I112" s="45"/>
    </row>
    <row r="113" spans="2:9" x14ac:dyDescent="0.2">
      <c r="B113" s="8" t="s">
        <v>198</v>
      </c>
      <c r="C113" s="17">
        <f>-$C$109</f>
        <v>-153500</v>
      </c>
      <c r="D113" s="17">
        <f>$D$105+$D$107</f>
        <v>-51963.953269828125</v>
      </c>
      <c r="E113" s="17">
        <f>$E$105+$E$107</f>
        <v>-21079.53457775939</v>
      </c>
      <c r="F113" s="17">
        <f>$F$105+$F$107</f>
        <v>23938.351591136889</v>
      </c>
      <c r="G113" s="17">
        <f>$G$105+$G$107</f>
        <v>88841.791227591544</v>
      </c>
      <c r="H113" s="17">
        <f>$H$105+$H$107+$H$110+$H$111</f>
        <v>208193.67924862821</v>
      </c>
      <c r="I113" s="45"/>
    </row>
    <row r="114" spans="2:9" x14ac:dyDescent="0.2">
      <c r="B114" s="8" t="s">
        <v>200</v>
      </c>
      <c r="C114" s="17">
        <f>NPV(C81,D113:H113)+C113</f>
        <v>0</v>
      </c>
      <c r="D114" s="6"/>
      <c r="E114" s="6"/>
      <c r="F114" s="6"/>
      <c r="G114" s="6"/>
      <c r="H114" s="6"/>
      <c r="I114" s="45"/>
    </row>
    <row r="115" spans="2:9" x14ac:dyDescent="0.2">
      <c r="I115" s="45"/>
    </row>
    <row r="116" spans="2:9" ht="19" x14ac:dyDescent="0.25">
      <c r="B116" s="67" t="s">
        <v>231</v>
      </c>
      <c r="C116" s="67"/>
      <c r="D116" s="67"/>
      <c r="E116" s="67"/>
      <c r="F116" s="67"/>
      <c r="G116" s="67"/>
      <c r="H116" s="67"/>
      <c r="I116" s="45"/>
    </row>
    <row r="117" spans="2:9" x14ac:dyDescent="0.2">
      <c r="I117" s="45"/>
    </row>
    <row r="118" spans="2:9" ht="16" customHeight="1" x14ac:dyDescent="0.2"/>
    <row r="163" ht="16" customHeight="1" x14ac:dyDescent="0.2"/>
    <row r="164" ht="16" customHeight="1" x14ac:dyDescent="0.2"/>
    <row r="165" ht="16" customHeight="1" x14ac:dyDescent="0.2"/>
    <row r="166" ht="16" customHeight="1" x14ac:dyDescent="0.2"/>
    <row r="167" ht="16" customHeight="1" x14ac:dyDescent="0.2"/>
    <row r="168" ht="16" customHeight="1" x14ac:dyDescent="0.2"/>
    <row r="169" ht="16" customHeight="1" x14ac:dyDescent="0.2"/>
    <row r="170" ht="16" customHeight="1" x14ac:dyDescent="0.2"/>
    <row r="171" ht="16" customHeight="1" x14ac:dyDescent="0.2"/>
    <row r="172" ht="16" customHeight="1" x14ac:dyDescent="0.2"/>
    <row r="173" ht="16" customHeight="1" x14ac:dyDescent="0.2"/>
  </sheetData>
  <mergeCells count="4">
    <mergeCell ref="B116:H116"/>
    <mergeCell ref="AA4:AB4"/>
    <mergeCell ref="AC4:AI4"/>
    <mergeCell ref="B94:E9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DE82-0805-A24F-AF2E-2878DE21CFFB}">
  <dimension ref="B2:AI1102"/>
  <sheetViews>
    <sheetView tabSelected="1" zoomScale="89" workbookViewId="0">
      <selection activeCell="W120" sqref="W120"/>
    </sheetView>
  </sheetViews>
  <sheetFormatPr baseColWidth="10" defaultRowHeight="16" x14ac:dyDescent="0.2"/>
  <cols>
    <col min="2" max="2" width="33.6640625" bestFit="1" customWidth="1"/>
    <col min="3" max="3" width="26" bestFit="1" customWidth="1"/>
    <col min="4" max="4" width="30.6640625" bestFit="1" customWidth="1"/>
    <col min="5" max="5" width="46.83203125" bestFit="1" customWidth="1"/>
    <col min="6" max="6" width="13" bestFit="1" customWidth="1"/>
    <col min="7" max="7" width="30.1640625" bestFit="1" customWidth="1"/>
    <col min="8" max="8" width="19.83203125" bestFit="1" customWidth="1"/>
    <col min="9" max="9" width="11.33203125" bestFit="1" customWidth="1"/>
    <col min="10" max="10" width="17.6640625" bestFit="1" customWidth="1"/>
    <col min="11" max="11" width="11.33203125" bestFit="1" customWidth="1"/>
    <col min="12" max="12" width="28" bestFit="1" customWidth="1"/>
    <col min="13" max="13" width="13.1640625" bestFit="1" customWidth="1"/>
    <col min="14" max="14" width="18" bestFit="1" customWidth="1"/>
    <col min="15" max="15" width="11.33203125" bestFit="1" customWidth="1"/>
    <col min="20" max="20" width="15.1640625" bestFit="1" customWidth="1"/>
    <col min="27" max="27" width="28.5" bestFit="1" customWidth="1"/>
    <col min="28" max="30" width="12.6640625" bestFit="1" customWidth="1"/>
    <col min="31" max="32" width="13.6640625" bestFit="1" customWidth="1"/>
    <col min="33" max="33" width="14.33203125" bestFit="1" customWidth="1"/>
    <col min="34" max="34" width="14.83203125" bestFit="1" customWidth="1"/>
    <col min="35" max="35" width="18" bestFit="1" customWidth="1"/>
    <col min="36" max="36" width="13.6640625" bestFit="1" customWidth="1"/>
  </cols>
  <sheetData>
    <row r="2" spans="2:35" ht="22" x14ac:dyDescent="0.3">
      <c r="B2" s="1" t="s">
        <v>0</v>
      </c>
      <c r="G2" s="1" t="s">
        <v>125</v>
      </c>
      <c r="L2" s="1" t="s">
        <v>133</v>
      </c>
      <c r="T2" s="1" t="s">
        <v>181</v>
      </c>
      <c r="AA2" s="30" t="s">
        <v>185</v>
      </c>
    </row>
    <row r="4" spans="2:35" ht="19" x14ac:dyDescent="0.25">
      <c r="B4" s="12" t="s">
        <v>22</v>
      </c>
      <c r="G4" s="10" t="s">
        <v>1</v>
      </c>
      <c r="H4" s="10" t="s">
        <v>127</v>
      </c>
      <c r="I4" s="10" t="s">
        <v>128</v>
      </c>
      <c r="J4" s="10" t="s">
        <v>15</v>
      </c>
      <c r="L4" s="20" t="s">
        <v>160</v>
      </c>
      <c r="T4" s="8" t="s">
        <v>176</v>
      </c>
      <c r="U4" s="8">
        <v>1</v>
      </c>
      <c r="V4" s="8">
        <v>2</v>
      </c>
      <c r="W4" s="8">
        <v>3</v>
      </c>
      <c r="X4" s="8">
        <v>4</v>
      </c>
      <c r="Y4" s="8">
        <v>5</v>
      </c>
      <c r="AA4" s="32" t="s">
        <v>186</v>
      </c>
      <c r="AB4" s="32"/>
      <c r="AC4" s="32" t="s">
        <v>187</v>
      </c>
      <c r="AD4" s="32"/>
      <c r="AE4" s="32"/>
      <c r="AF4" s="32"/>
      <c r="AG4" s="32"/>
      <c r="AH4" s="32"/>
      <c r="AI4" s="32"/>
    </row>
    <row r="5" spans="2:35" x14ac:dyDescent="0.2">
      <c r="B5" s="10" t="s">
        <v>23</v>
      </c>
      <c r="C5" s="10" t="s">
        <v>2</v>
      </c>
      <c r="D5" s="2"/>
      <c r="E5" s="2"/>
      <c r="F5" s="2"/>
      <c r="G5" s="11" t="s">
        <v>9</v>
      </c>
      <c r="H5" s="14">
        <v>80000</v>
      </c>
      <c r="I5" s="6" t="s">
        <v>129</v>
      </c>
      <c r="J5" s="14">
        <v>16000</v>
      </c>
      <c r="L5" s="9" t="s">
        <v>167</v>
      </c>
      <c r="M5" s="9" t="s">
        <v>134</v>
      </c>
      <c r="N5" s="9" t="s">
        <v>135</v>
      </c>
      <c r="O5" s="9" t="s">
        <v>126</v>
      </c>
      <c r="T5" s="8" t="s">
        <v>177</v>
      </c>
      <c r="U5" s="6">
        <f>C18</f>
        <v>20</v>
      </c>
      <c r="V5" s="22">
        <f>U5*(1+$C$19)</f>
        <v>28</v>
      </c>
      <c r="W5" s="22">
        <f t="shared" ref="W5:Y5" si="0">V5*(1+$C$19)</f>
        <v>39.199999999999996</v>
      </c>
      <c r="X5" s="22">
        <f t="shared" si="0"/>
        <v>54.879999999999988</v>
      </c>
      <c r="Y5" s="22">
        <f t="shared" si="0"/>
        <v>76.831999999999979</v>
      </c>
      <c r="AA5" s="8" t="s">
        <v>194</v>
      </c>
      <c r="AB5" s="6">
        <f>C72*C76</f>
        <v>92100</v>
      </c>
      <c r="AC5" s="8" t="s">
        <v>188</v>
      </c>
      <c r="AD5" s="8" t="s">
        <v>189</v>
      </c>
      <c r="AE5" s="8" t="s">
        <v>190</v>
      </c>
      <c r="AF5" s="8" t="s">
        <v>191</v>
      </c>
      <c r="AG5" s="8" t="s">
        <v>192</v>
      </c>
      <c r="AH5" s="8" t="s">
        <v>193</v>
      </c>
      <c r="AI5" s="8" t="s">
        <v>216</v>
      </c>
    </row>
    <row r="6" spans="2:35" x14ac:dyDescent="0.2">
      <c r="B6" s="11" t="s">
        <v>25</v>
      </c>
      <c r="C6" s="6">
        <v>5</v>
      </c>
      <c r="G6" s="11" t="s">
        <v>79</v>
      </c>
      <c r="H6" s="14">
        <v>15000</v>
      </c>
      <c r="I6" s="6"/>
      <c r="J6" s="6">
        <v>0</v>
      </c>
      <c r="L6" s="6" t="s">
        <v>136</v>
      </c>
      <c r="M6" s="6">
        <v>2</v>
      </c>
      <c r="N6" s="14">
        <v>40000</v>
      </c>
      <c r="O6" s="14">
        <f>N6*M6</f>
        <v>80000</v>
      </c>
      <c r="T6" s="8" t="s">
        <v>182</v>
      </c>
      <c r="U6" s="6">
        <f ca="1">$J$98+RAND()*($K$98-$J$98)</f>
        <v>154.93848423438337</v>
      </c>
      <c r="V6" s="6">
        <f t="shared" ref="V6:Y6" ca="1" si="1">$J$98+RAND()*($K$98-$J$98)</f>
        <v>171.14176105851143</v>
      </c>
      <c r="W6" s="6">
        <f t="shared" ca="1" si="1"/>
        <v>147.96977696357106</v>
      </c>
      <c r="X6" s="6">
        <f t="shared" ca="1" si="1"/>
        <v>185.47441170255871</v>
      </c>
      <c r="Y6" s="6">
        <f t="shared" ca="1" si="1"/>
        <v>123.04396712613773</v>
      </c>
      <c r="AA6" s="8" t="s">
        <v>195</v>
      </c>
      <c r="AB6" s="7">
        <f>C77</f>
        <v>0.05</v>
      </c>
      <c r="AC6" s="8">
        <v>1</v>
      </c>
      <c r="AD6" s="29">
        <f>$AB$5</f>
        <v>92100</v>
      </c>
      <c r="AE6" s="29">
        <f>$AB$8</f>
        <v>21272.778907613494</v>
      </c>
      <c r="AF6" s="29">
        <f>AD6*$AB$6</f>
        <v>4605</v>
      </c>
      <c r="AG6" s="29">
        <f>AE6-AF6</f>
        <v>16667.778907613494</v>
      </c>
      <c r="AH6" s="29">
        <f>AF6*(1-$AB$9)</f>
        <v>3453.75</v>
      </c>
      <c r="AI6" s="37">
        <f>AG6+AH6</f>
        <v>20121.528907613494</v>
      </c>
    </row>
    <row r="7" spans="2:35" x14ac:dyDescent="0.2">
      <c r="B7" s="11" t="s">
        <v>27</v>
      </c>
      <c r="C7" s="6">
        <v>2026</v>
      </c>
      <c r="G7" s="11" t="s">
        <v>10</v>
      </c>
      <c r="H7" s="14">
        <v>5000</v>
      </c>
      <c r="I7" s="6"/>
      <c r="J7" s="6">
        <v>0</v>
      </c>
      <c r="L7" s="6" t="s">
        <v>137</v>
      </c>
      <c r="M7" s="6">
        <v>1</v>
      </c>
      <c r="N7" s="14">
        <v>30000</v>
      </c>
      <c r="O7" s="14">
        <f>N7</f>
        <v>30000</v>
      </c>
      <c r="T7" s="8" t="s">
        <v>183</v>
      </c>
      <c r="U7" s="6">
        <v>12</v>
      </c>
      <c r="V7" s="6">
        <v>12</v>
      </c>
      <c r="W7" s="6">
        <v>12</v>
      </c>
      <c r="X7" s="6">
        <v>12</v>
      </c>
      <c r="Y7" s="6">
        <v>12</v>
      </c>
      <c r="AA7" s="8" t="s">
        <v>196</v>
      </c>
      <c r="AB7" s="6">
        <f>5</f>
        <v>5</v>
      </c>
      <c r="AC7" s="8">
        <v>2</v>
      </c>
      <c r="AD7" s="29">
        <f>AD6-AG6</f>
        <v>75432.221092386506</v>
      </c>
      <c r="AE7" s="29">
        <f>$AB$8</f>
        <v>21272.778907613494</v>
      </c>
      <c r="AF7" s="29">
        <f>AD7*$AB$6</f>
        <v>3771.6110546193254</v>
      </c>
      <c r="AG7" s="29">
        <f>AE7-AF7</f>
        <v>17501.167852994167</v>
      </c>
      <c r="AH7" s="29">
        <f>AF7*(1-$AB$9)</f>
        <v>2828.7082909644942</v>
      </c>
      <c r="AI7" s="37">
        <f>AG7+AH7</f>
        <v>20329.87614395866</v>
      </c>
    </row>
    <row r="8" spans="2:35" x14ac:dyDescent="0.2">
      <c r="B8" s="11" t="s">
        <v>28</v>
      </c>
      <c r="C8" s="6" t="s">
        <v>29</v>
      </c>
      <c r="G8" s="11" t="s">
        <v>81</v>
      </c>
      <c r="H8" s="14">
        <v>7500</v>
      </c>
      <c r="I8" s="6" t="s">
        <v>130</v>
      </c>
      <c r="J8" s="14">
        <v>1875</v>
      </c>
      <c r="L8" s="10" t="s">
        <v>138</v>
      </c>
      <c r="M8" s="11"/>
      <c r="N8" s="11"/>
      <c r="O8" s="16">
        <f>O7+O6</f>
        <v>110000</v>
      </c>
      <c r="T8" s="8" t="s">
        <v>184</v>
      </c>
      <c r="U8" s="24">
        <f ca="1">U5*U6*U7</f>
        <v>37185.236216252008</v>
      </c>
      <c r="V8" s="24">
        <f t="shared" ref="V8:Y8" ca="1" si="2">V5*V6*V7</f>
        <v>57503.631715659838</v>
      </c>
      <c r="W8" s="24">
        <f t="shared" ca="1" si="2"/>
        <v>69604.983083663828</v>
      </c>
      <c r="X8" s="24">
        <f t="shared" ca="1" si="2"/>
        <v>122146.02857083705</v>
      </c>
      <c r="Y8" s="24">
        <f t="shared" ca="1" si="2"/>
        <v>113444.56898682495</v>
      </c>
      <c r="AA8" s="8" t="s">
        <v>190</v>
      </c>
      <c r="AB8" s="31">
        <f>PMT($AB$6,$AB$7,-$AB$5)</f>
        <v>21272.778907613494</v>
      </c>
      <c r="AC8" s="8">
        <v>3</v>
      </c>
      <c r="AD8" s="29">
        <f>AD7-AG7</f>
        <v>57931.053239392335</v>
      </c>
      <c r="AE8" s="29">
        <f>$AB$8</f>
        <v>21272.778907613494</v>
      </c>
      <c r="AF8" s="29">
        <f>AD8*$AB$6</f>
        <v>2896.552661969617</v>
      </c>
      <c r="AG8" s="29">
        <f>AE8-AF8</f>
        <v>18376.226245643877</v>
      </c>
      <c r="AH8" s="29">
        <f>AF8*(1-$AB$9)</f>
        <v>2172.4144964772127</v>
      </c>
      <c r="AI8" s="37">
        <f>AG8+AH8</f>
        <v>20548.64074212109</v>
      </c>
    </row>
    <row r="9" spans="2:35" x14ac:dyDescent="0.2">
      <c r="B9" s="11" t="s">
        <v>30</v>
      </c>
      <c r="C9" s="6" t="s">
        <v>31</v>
      </c>
      <c r="G9" s="11" t="s">
        <v>82</v>
      </c>
      <c r="H9" s="14">
        <v>6000</v>
      </c>
      <c r="I9" s="6"/>
      <c r="J9" s="6">
        <v>0</v>
      </c>
      <c r="L9" s="9" t="s">
        <v>139</v>
      </c>
      <c r="M9" s="6"/>
      <c r="N9" s="9" t="s">
        <v>140</v>
      </c>
      <c r="O9" s="9" t="s">
        <v>141</v>
      </c>
      <c r="AA9" s="8" t="s">
        <v>197</v>
      </c>
      <c r="AB9" s="7">
        <f>C61</f>
        <v>0.25</v>
      </c>
      <c r="AC9" s="8">
        <v>4</v>
      </c>
      <c r="AD9" s="29">
        <f>AD8-AG8</f>
        <v>39554.826993748458</v>
      </c>
      <c r="AE9" s="29">
        <f>$AB$8</f>
        <v>21272.778907613494</v>
      </c>
      <c r="AF9" s="29">
        <f>AD9*$AB$6</f>
        <v>1977.7413496874231</v>
      </c>
      <c r="AG9" s="29">
        <f>AE9-AF9</f>
        <v>19295.037557926073</v>
      </c>
      <c r="AH9" s="29">
        <f>AF9*(1-$AB$9)</f>
        <v>1483.3060122655672</v>
      </c>
      <c r="AI9" s="37">
        <f>AG9+AH9</f>
        <v>20778.343570191639</v>
      </c>
    </row>
    <row r="10" spans="2:35" x14ac:dyDescent="0.2">
      <c r="B10" s="11" t="s">
        <v>32</v>
      </c>
      <c r="C10" s="6" t="s">
        <v>33</v>
      </c>
      <c r="G10" s="11" t="s">
        <v>131</v>
      </c>
      <c r="H10" s="14">
        <v>15000</v>
      </c>
      <c r="I10" s="6"/>
      <c r="J10" s="6">
        <v>0</v>
      </c>
      <c r="L10" s="6" t="s">
        <v>142</v>
      </c>
      <c r="M10" s="6"/>
      <c r="N10" s="6">
        <v>120</v>
      </c>
      <c r="O10" s="14">
        <f>N10*12</f>
        <v>1440</v>
      </c>
      <c r="AA10" s="34"/>
      <c r="AB10" s="34"/>
      <c r="AC10" s="8">
        <v>5</v>
      </c>
      <c r="AD10" s="29">
        <f>AD9-AG9</f>
        <v>20259.789435822386</v>
      </c>
      <c r="AE10" s="29">
        <f>$AB$8</f>
        <v>21272.778907613494</v>
      </c>
      <c r="AF10" s="29">
        <f>AD10*$AB$6</f>
        <v>1012.9894717911193</v>
      </c>
      <c r="AG10" s="29">
        <f>AE10-AF10</f>
        <v>20259.789435822375</v>
      </c>
      <c r="AH10" s="29">
        <f>AF10*(1-$AB$9)</f>
        <v>759.74210384333946</v>
      </c>
      <c r="AI10" s="37">
        <f>AG10+AH10</f>
        <v>21019.531539665713</v>
      </c>
    </row>
    <row r="11" spans="2:35" x14ac:dyDescent="0.2">
      <c r="B11" s="11" t="s">
        <v>34</v>
      </c>
      <c r="C11" s="6" t="s">
        <v>35</v>
      </c>
      <c r="G11" s="11" t="s">
        <v>83</v>
      </c>
      <c r="H11" s="14">
        <v>25000</v>
      </c>
      <c r="I11" s="6"/>
      <c r="J11" s="6">
        <v>0</v>
      </c>
      <c r="L11" s="6" t="s">
        <v>143</v>
      </c>
      <c r="M11" s="6"/>
      <c r="N11" s="6">
        <v>300</v>
      </c>
      <c r="O11" s="14">
        <f t="shared" ref="O11:O14" si="3">N11*12</f>
        <v>3600</v>
      </c>
    </row>
    <row r="12" spans="2:35" x14ac:dyDescent="0.2">
      <c r="B12" s="11" t="s">
        <v>36</v>
      </c>
      <c r="C12" s="6" t="s">
        <v>37</v>
      </c>
      <c r="G12" s="10" t="s">
        <v>132</v>
      </c>
      <c r="H12" s="16">
        <v>153500</v>
      </c>
      <c r="I12" s="11"/>
      <c r="J12" s="16">
        <v>17875</v>
      </c>
      <c r="L12" s="6" t="s">
        <v>144</v>
      </c>
      <c r="M12" s="6"/>
      <c r="N12" s="6">
        <v>200</v>
      </c>
      <c r="O12" s="14">
        <f t="shared" si="3"/>
        <v>2400</v>
      </c>
    </row>
    <row r="13" spans="2:35" x14ac:dyDescent="0.2">
      <c r="L13" s="6" t="s">
        <v>145</v>
      </c>
      <c r="M13" s="6"/>
      <c r="N13" s="6">
        <v>150</v>
      </c>
      <c r="O13" s="14">
        <f t="shared" si="3"/>
        <v>1800</v>
      </c>
    </row>
    <row r="14" spans="2:35" ht="19" x14ac:dyDescent="0.25">
      <c r="B14" s="12" t="s">
        <v>38</v>
      </c>
      <c r="L14" s="6" t="s">
        <v>146</v>
      </c>
      <c r="M14" s="6"/>
      <c r="N14" s="6">
        <v>100</v>
      </c>
      <c r="O14" s="14">
        <f t="shared" si="3"/>
        <v>1200</v>
      </c>
    </row>
    <row r="15" spans="2:35" x14ac:dyDescent="0.2">
      <c r="B15" s="10" t="s">
        <v>23</v>
      </c>
      <c r="C15" s="10" t="s">
        <v>2</v>
      </c>
      <c r="D15" s="10" t="s">
        <v>24</v>
      </c>
      <c r="E15" s="10" t="s">
        <v>39</v>
      </c>
      <c r="F15" s="2"/>
      <c r="L15" s="10" t="s">
        <v>147</v>
      </c>
      <c r="M15" s="11"/>
      <c r="N15" s="10">
        <f>SUM(N10:N14)</f>
        <v>870</v>
      </c>
      <c r="O15" s="16">
        <f>SUM(O10:O14)</f>
        <v>10440</v>
      </c>
    </row>
    <row r="16" spans="2:35" x14ac:dyDescent="0.2">
      <c r="B16" s="11" t="s">
        <v>40</v>
      </c>
      <c r="C16" s="14">
        <v>10000</v>
      </c>
      <c r="D16" s="6"/>
      <c r="E16" s="6" t="s">
        <v>41</v>
      </c>
      <c r="L16" s="9" t="s">
        <v>152</v>
      </c>
      <c r="M16" s="6"/>
      <c r="N16" s="6"/>
      <c r="O16" s="9" t="s">
        <v>141</v>
      </c>
    </row>
    <row r="17" spans="2:33" x14ac:dyDescent="0.2">
      <c r="B17" s="11" t="s">
        <v>42</v>
      </c>
      <c r="C17" s="15">
        <v>2E-3</v>
      </c>
      <c r="D17" s="6"/>
      <c r="E17" s="6" t="s">
        <v>43</v>
      </c>
      <c r="L17" s="6" t="s">
        <v>148</v>
      </c>
      <c r="M17" s="6"/>
      <c r="N17" s="6"/>
      <c r="O17" s="6">
        <v>200</v>
      </c>
      <c r="AA17" s="34"/>
      <c r="AB17" s="34"/>
      <c r="AC17" s="34"/>
      <c r="AD17" s="34"/>
      <c r="AE17" s="34"/>
      <c r="AF17" s="34"/>
      <c r="AG17" s="34"/>
    </row>
    <row r="18" spans="2:33" x14ac:dyDescent="0.2">
      <c r="B18" s="11" t="s">
        <v>44</v>
      </c>
      <c r="C18" s="6">
        <f>C16*C17</f>
        <v>20</v>
      </c>
      <c r="D18" s="6" t="s">
        <v>45</v>
      </c>
      <c r="E18" s="6" t="s">
        <v>46</v>
      </c>
      <c r="L18" s="6" t="s">
        <v>149</v>
      </c>
      <c r="M18" s="6"/>
      <c r="N18" s="6"/>
      <c r="O18" s="14">
        <v>1000</v>
      </c>
      <c r="AA18" s="34"/>
      <c r="AB18" s="35"/>
      <c r="AC18" s="35"/>
      <c r="AD18" s="35"/>
      <c r="AE18" s="35"/>
      <c r="AF18" s="35"/>
      <c r="AG18" s="35"/>
    </row>
    <row r="19" spans="2:33" x14ac:dyDescent="0.2">
      <c r="B19" s="11" t="s">
        <v>47</v>
      </c>
      <c r="C19" s="7">
        <v>0.4</v>
      </c>
      <c r="D19" s="6" t="s">
        <v>48</v>
      </c>
      <c r="E19" s="6" t="s">
        <v>49</v>
      </c>
      <c r="L19" s="6" t="s">
        <v>150</v>
      </c>
      <c r="M19" s="6"/>
      <c r="N19" s="6"/>
      <c r="O19" s="14">
        <v>1800</v>
      </c>
      <c r="AA19" s="34"/>
      <c r="AB19" s="35"/>
      <c r="AC19" s="35"/>
      <c r="AD19" s="35"/>
      <c r="AE19" s="35"/>
      <c r="AF19" s="35"/>
      <c r="AG19" s="35"/>
    </row>
    <row r="20" spans="2:33" x14ac:dyDescent="0.2">
      <c r="B20" s="11" t="s">
        <v>50</v>
      </c>
      <c r="C20" s="6">
        <v>5</v>
      </c>
      <c r="D20" s="6" t="s">
        <v>51</v>
      </c>
      <c r="E20" s="6" t="s">
        <v>52</v>
      </c>
      <c r="L20" s="10" t="s">
        <v>151</v>
      </c>
      <c r="M20" s="11"/>
      <c r="N20" s="11"/>
      <c r="O20" s="16">
        <f>SUM(O17:O19)</f>
        <v>3000</v>
      </c>
      <c r="AA20" s="34"/>
      <c r="AB20" s="35"/>
      <c r="AC20" s="35"/>
      <c r="AD20" s="35"/>
      <c r="AE20" s="35"/>
      <c r="AF20" s="35"/>
      <c r="AG20" s="35"/>
    </row>
    <row r="21" spans="2:33" x14ac:dyDescent="0.2">
      <c r="B21" s="11" t="s">
        <v>53</v>
      </c>
      <c r="C21" s="6">
        <v>1</v>
      </c>
      <c r="D21" s="6" t="s">
        <v>54</v>
      </c>
      <c r="E21" s="6" t="s">
        <v>52</v>
      </c>
      <c r="L21" s="5" t="s">
        <v>157</v>
      </c>
      <c r="M21" s="6"/>
      <c r="N21" s="6"/>
      <c r="O21" s="9" t="s">
        <v>141</v>
      </c>
      <c r="AA21" s="34"/>
      <c r="AB21" s="35"/>
      <c r="AC21" s="35"/>
      <c r="AD21" s="35"/>
      <c r="AE21" s="35"/>
      <c r="AF21" s="35"/>
      <c r="AG21" s="35"/>
    </row>
    <row r="22" spans="2:33" x14ac:dyDescent="0.2">
      <c r="B22" s="11" t="s">
        <v>55</v>
      </c>
      <c r="C22" s="6">
        <v>20</v>
      </c>
      <c r="D22" s="6" t="s">
        <v>54</v>
      </c>
      <c r="E22" s="6" t="s">
        <v>56</v>
      </c>
      <c r="L22" s="6" t="s">
        <v>153</v>
      </c>
      <c r="M22" s="6"/>
      <c r="N22" s="6"/>
      <c r="O22" s="14">
        <v>3000</v>
      </c>
      <c r="AA22" s="34"/>
      <c r="AB22" s="35"/>
      <c r="AC22" s="35"/>
      <c r="AD22" s="35"/>
      <c r="AE22" s="35"/>
      <c r="AF22" s="35"/>
      <c r="AG22" s="35"/>
    </row>
    <row r="23" spans="2:33" x14ac:dyDescent="0.2">
      <c r="B23" s="11" t="s">
        <v>57</v>
      </c>
      <c r="C23" s="7">
        <v>0.5</v>
      </c>
      <c r="D23" s="6"/>
      <c r="E23" s="6" t="s">
        <v>58</v>
      </c>
      <c r="L23" s="6" t="s">
        <v>154</v>
      </c>
      <c r="M23" s="6"/>
      <c r="N23" s="6"/>
      <c r="O23" s="14">
        <v>2000</v>
      </c>
    </row>
    <row r="24" spans="2:33" x14ac:dyDescent="0.2">
      <c r="B24" s="11" t="s">
        <v>59</v>
      </c>
      <c r="C24" s="6">
        <f>C22*C23+C22</f>
        <v>30</v>
      </c>
      <c r="D24" s="6" t="s">
        <v>54</v>
      </c>
      <c r="E24" s="6" t="s">
        <v>60</v>
      </c>
      <c r="L24" s="6" t="s">
        <v>155</v>
      </c>
      <c r="M24" s="6"/>
      <c r="N24" s="6"/>
      <c r="O24" s="14">
        <v>2000</v>
      </c>
    </row>
    <row r="25" spans="2:33" x14ac:dyDescent="0.2">
      <c r="L25" s="10" t="s">
        <v>156</v>
      </c>
      <c r="M25" s="11"/>
      <c r="N25" s="11"/>
      <c r="O25" s="16">
        <f>SUM(O22:O24)</f>
        <v>7000</v>
      </c>
    </row>
    <row r="26" spans="2:33" ht="19" x14ac:dyDescent="0.25">
      <c r="B26" s="12" t="s">
        <v>61</v>
      </c>
      <c r="L26" s="9" t="s">
        <v>6</v>
      </c>
      <c r="M26" s="6"/>
      <c r="N26" s="6"/>
      <c r="O26" s="9" t="s">
        <v>141</v>
      </c>
    </row>
    <row r="27" spans="2:33" x14ac:dyDescent="0.2">
      <c r="B27" s="10" t="s">
        <v>23</v>
      </c>
      <c r="C27" s="10" t="s">
        <v>2</v>
      </c>
      <c r="D27" s="10" t="s">
        <v>24</v>
      </c>
      <c r="E27" s="10" t="s">
        <v>39</v>
      </c>
      <c r="F27" s="2"/>
      <c r="L27" s="8" t="s">
        <v>158</v>
      </c>
      <c r="M27" s="8"/>
      <c r="N27" s="8"/>
      <c r="O27" s="17">
        <v>12000</v>
      </c>
    </row>
    <row r="28" spans="2:33" x14ac:dyDescent="0.2">
      <c r="B28" s="11" t="s">
        <v>21</v>
      </c>
      <c r="C28" s="6">
        <v>150</v>
      </c>
      <c r="D28" s="6" t="s">
        <v>62</v>
      </c>
      <c r="E28" s="6" t="s">
        <v>63</v>
      </c>
      <c r="L28" s="6"/>
      <c r="M28" s="6"/>
      <c r="N28" s="6"/>
      <c r="O28" s="6"/>
    </row>
    <row r="29" spans="2:33" ht="19" x14ac:dyDescent="0.25">
      <c r="B29" s="11" t="s">
        <v>64</v>
      </c>
      <c r="C29" s="14">
        <f>C28*12</f>
        <v>1800</v>
      </c>
      <c r="D29" s="6" t="s">
        <v>65</v>
      </c>
      <c r="E29" s="6" t="s">
        <v>66</v>
      </c>
      <c r="L29" s="18" t="s">
        <v>159</v>
      </c>
      <c r="M29" s="19"/>
      <c r="N29" s="19"/>
      <c r="O29" s="36">
        <f>SUM(O8+O15+O20+O25+O27)</f>
        <v>142440</v>
      </c>
    </row>
    <row r="30" spans="2:33" x14ac:dyDescent="0.2">
      <c r="B30" s="11" t="s">
        <v>67</v>
      </c>
      <c r="C30" s="6">
        <v>5</v>
      </c>
      <c r="D30" s="6" t="s">
        <v>51</v>
      </c>
      <c r="E30" s="6" t="s">
        <v>68</v>
      </c>
    </row>
    <row r="31" spans="2:33" ht="19" x14ac:dyDescent="0.25">
      <c r="B31" s="11" t="s">
        <v>69</v>
      </c>
      <c r="C31" s="6">
        <f>C28/5</f>
        <v>30</v>
      </c>
      <c r="D31" s="6" t="s">
        <v>70</v>
      </c>
      <c r="E31" s="6" t="s">
        <v>71</v>
      </c>
      <c r="L31" s="20" t="s">
        <v>170</v>
      </c>
    </row>
    <row r="32" spans="2:33" x14ac:dyDescent="0.2">
      <c r="B32" s="11" t="s">
        <v>72</v>
      </c>
      <c r="C32" s="6" t="s">
        <v>73</v>
      </c>
      <c r="D32" s="6" t="s">
        <v>74</v>
      </c>
      <c r="E32" s="6" t="s">
        <v>75</v>
      </c>
      <c r="L32" s="10" t="s">
        <v>1</v>
      </c>
      <c r="M32" s="10" t="s">
        <v>161</v>
      </c>
      <c r="N32" s="10" t="s">
        <v>162</v>
      </c>
      <c r="O32" s="10" t="s">
        <v>163</v>
      </c>
      <c r="P32" s="10" t="s">
        <v>164</v>
      </c>
      <c r="Q32" s="10" t="s">
        <v>165</v>
      </c>
      <c r="R32" s="10" t="s">
        <v>166</v>
      </c>
    </row>
    <row r="33" spans="2:18" x14ac:dyDescent="0.2">
      <c r="L33" s="11" t="s">
        <v>167</v>
      </c>
      <c r="M33" s="14">
        <f>O8</f>
        <v>110000</v>
      </c>
      <c r="N33" s="7">
        <v>0.03</v>
      </c>
      <c r="O33" s="14">
        <f>M33*(1+$N33)</f>
        <v>113300</v>
      </c>
      <c r="P33" s="14">
        <f>(1+$N33)*(O33)</f>
        <v>116699</v>
      </c>
      <c r="Q33" s="14">
        <f t="shared" ref="Q33:R34" si="4">(1+$N33)*(P33)</f>
        <v>120199.97</v>
      </c>
      <c r="R33" s="14">
        <f t="shared" si="4"/>
        <v>123805.9691</v>
      </c>
    </row>
    <row r="34" spans="2:18" ht="19" x14ac:dyDescent="0.25">
      <c r="B34" s="12" t="s">
        <v>76</v>
      </c>
      <c r="C34" s="3"/>
      <c r="L34" s="11" t="s">
        <v>35</v>
      </c>
      <c r="M34" s="14">
        <f>O15</f>
        <v>10440</v>
      </c>
      <c r="N34" s="7">
        <v>0.15</v>
      </c>
      <c r="O34" s="14">
        <f t="shared" ref="O34:O37" si="5">M34*(1+$N34)</f>
        <v>12005.999999999998</v>
      </c>
      <c r="P34" s="14">
        <f>(1+$N34)*(O34)</f>
        <v>13806.899999999996</v>
      </c>
      <c r="Q34" s="14">
        <f t="shared" si="4"/>
        <v>15877.934999999994</v>
      </c>
      <c r="R34" s="14">
        <f t="shared" si="4"/>
        <v>18259.62524999999</v>
      </c>
    </row>
    <row r="35" spans="2:18" x14ac:dyDescent="0.2">
      <c r="B35" s="10" t="s">
        <v>23</v>
      </c>
      <c r="C35" s="10" t="s">
        <v>2</v>
      </c>
      <c r="D35" s="10" t="s">
        <v>24</v>
      </c>
      <c r="E35" s="10" t="s">
        <v>77</v>
      </c>
      <c r="F35" s="2"/>
      <c r="K35" s="2"/>
      <c r="L35" s="11" t="s">
        <v>152</v>
      </c>
      <c r="M35" s="14">
        <f>O20</f>
        <v>3000</v>
      </c>
      <c r="N35" s="7">
        <v>0.02</v>
      </c>
      <c r="O35" s="14">
        <f t="shared" si="5"/>
        <v>3060</v>
      </c>
      <c r="P35" s="14">
        <f t="shared" ref="P35:R37" si="6">(1+$N35)*(O35)</f>
        <v>3121.2000000000003</v>
      </c>
      <c r="Q35" s="14">
        <f t="shared" si="6"/>
        <v>3183.6240000000003</v>
      </c>
      <c r="R35" s="14">
        <f t="shared" si="6"/>
        <v>3247.2964800000004</v>
      </c>
    </row>
    <row r="36" spans="2:18" x14ac:dyDescent="0.2">
      <c r="B36" s="11" t="s">
        <v>9</v>
      </c>
      <c r="C36" s="14">
        <v>80000</v>
      </c>
      <c r="D36" s="6" t="s">
        <v>74</v>
      </c>
      <c r="E36" s="6" t="s">
        <v>78</v>
      </c>
      <c r="L36" s="11" t="s">
        <v>168</v>
      </c>
      <c r="M36" s="14">
        <f>O25</f>
        <v>7000</v>
      </c>
      <c r="N36" s="7">
        <v>0.02</v>
      </c>
      <c r="O36" s="14">
        <f t="shared" si="5"/>
        <v>7140</v>
      </c>
      <c r="P36" s="14">
        <f t="shared" si="6"/>
        <v>7282.8</v>
      </c>
      <c r="Q36" s="14">
        <f t="shared" si="6"/>
        <v>7428.4560000000001</v>
      </c>
      <c r="R36" s="14">
        <f t="shared" si="6"/>
        <v>7577.0251200000002</v>
      </c>
    </row>
    <row r="37" spans="2:18" x14ac:dyDescent="0.2">
      <c r="B37" s="11" t="s">
        <v>79</v>
      </c>
      <c r="C37" s="14">
        <v>15000</v>
      </c>
      <c r="D37" s="6" t="s">
        <v>74</v>
      </c>
      <c r="E37" s="6" t="s">
        <v>80</v>
      </c>
      <c r="L37" s="11" t="s">
        <v>6</v>
      </c>
      <c r="M37" s="14">
        <f>O27</f>
        <v>12000</v>
      </c>
      <c r="N37" s="7">
        <v>0.02</v>
      </c>
      <c r="O37" s="14">
        <f t="shared" si="5"/>
        <v>12240</v>
      </c>
      <c r="P37" s="14">
        <f t="shared" si="6"/>
        <v>12484.800000000001</v>
      </c>
      <c r="Q37" s="14">
        <f t="shared" si="6"/>
        <v>12734.496000000001</v>
      </c>
      <c r="R37" s="14">
        <f t="shared" si="6"/>
        <v>12989.185920000002</v>
      </c>
    </row>
    <row r="38" spans="2:18" x14ac:dyDescent="0.2">
      <c r="B38" s="11" t="s">
        <v>10</v>
      </c>
      <c r="C38" s="14">
        <v>5000</v>
      </c>
      <c r="D38" s="6" t="s">
        <v>74</v>
      </c>
      <c r="E38" s="6" t="s">
        <v>80</v>
      </c>
      <c r="L38" s="10" t="s">
        <v>169</v>
      </c>
      <c r="M38" s="16">
        <f>SUM(M33:M37)</f>
        <v>142440</v>
      </c>
      <c r="N38" s="16"/>
      <c r="O38" s="16">
        <f t="shared" ref="O38" si="7">SUM(O33:O37)</f>
        <v>147746</v>
      </c>
      <c r="P38" s="16">
        <f>SUM(P33:P37)</f>
        <v>153394.69999999998</v>
      </c>
      <c r="Q38" s="16">
        <f>SUM(Q33:Q37)</f>
        <v>159424.48100000003</v>
      </c>
      <c r="R38" s="16">
        <f>SUM(R33:R37)</f>
        <v>165879.10186999998</v>
      </c>
    </row>
    <row r="39" spans="2:18" x14ac:dyDescent="0.2">
      <c r="B39" s="11" t="s">
        <v>81</v>
      </c>
      <c r="C39" s="14">
        <v>7500</v>
      </c>
      <c r="D39" s="6" t="s">
        <v>74</v>
      </c>
      <c r="E39" s="6" t="s">
        <v>78</v>
      </c>
    </row>
    <row r="40" spans="2:18" x14ac:dyDescent="0.2">
      <c r="B40" s="11" t="s">
        <v>82</v>
      </c>
      <c r="C40" s="14">
        <v>6000</v>
      </c>
      <c r="D40" s="6" t="s">
        <v>74</v>
      </c>
      <c r="E40" s="6" t="s">
        <v>80</v>
      </c>
    </row>
    <row r="41" spans="2:18" ht="19" x14ac:dyDescent="0.25">
      <c r="B41" s="11" t="s">
        <v>11</v>
      </c>
      <c r="C41" s="14">
        <v>15000</v>
      </c>
      <c r="D41" s="6" t="s">
        <v>74</v>
      </c>
      <c r="E41" s="6" t="s">
        <v>80</v>
      </c>
      <c r="L41" s="12" t="s">
        <v>171</v>
      </c>
    </row>
    <row r="42" spans="2:18" x14ac:dyDescent="0.2">
      <c r="B42" s="11" t="s">
        <v>83</v>
      </c>
      <c r="C42" s="14">
        <v>25000</v>
      </c>
      <c r="D42" s="6" t="s">
        <v>74</v>
      </c>
      <c r="E42" s="6" t="s">
        <v>84</v>
      </c>
      <c r="L42" s="10" t="s">
        <v>23</v>
      </c>
      <c r="M42" s="10" t="s">
        <v>2</v>
      </c>
      <c r="N42" s="2"/>
      <c r="O42" s="2"/>
    </row>
    <row r="43" spans="2:18" x14ac:dyDescent="0.2">
      <c r="B43" s="8" t="s">
        <v>85</v>
      </c>
      <c r="C43" s="17">
        <f>SUM(C36:C42)</f>
        <v>153500</v>
      </c>
      <c r="D43" s="11" t="s">
        <v>74</v>
      </c>
      <c r="E43" s="6"/>
      <c r="L43" s="11" t="s">
        <v>172</v>
      </c>
      <c r="M43" s="21">
        <f>C53</f>
        <v>10</v>
      </c>
    </row>
    <row r="44" spans="2:18" ht="17" x14ac:dyDescent="0.25">
      <c r="C44" s="4"/>
      <c r="L44" s="11" t="s">
        <v>173</v>
      </c>
      <c r="M44" s="21">
        <f>M43*12</f>
        <v>120</v>
      </c>
    </row>
    <row r="45" spans="2:18" ht="19" x14ac:dyDescent="0.25">
      <c r="B45" s="12" t="s">
        <v>86</v>
      </c>
      <c r="L45" s="11" t="s">
        <v>174</v>
      </c>
      <c r="M45" s="23" t="s">
        <v>175</v>
      </c>
    </row>
    <row r="46" spans="2:18" x14ac:dyDescent="0.2">
      <c r="B46" s="10" t="s">
        <v>23</v>
      </c>
      <c r="C46" s="10" t="s">
        <v>2</v>
      </c>
      <c r="D46" s="10" t="s">
        <v>24</v>
      </c>
      <c r="E46" s="10" t="s">
        <v>77</v>
      </c>
    </row>
    <row r="47" spans="2:18" ht="19" x14ac:dyDescent="0.25">
      <c r="B47" s="11" t="s">
        <v>3</v>
      </c>
      <c r="C47" s="14">
        <v>110000</v>
      </c>
      <c r="D47" s="6" t="s">
        <v>65</v>
      </c>
      <c r="E47" s="6" t="s">
        <v>87</v>
      </c>
      <c r="L47" s="20" t="s">
        <v>180</v>
      </c>
    </row>
    <row r="48" spans="2:18" x14ac:dyDescent="0.2">
      <c r="B48" s="11" t="s">
        <v>4</v>
      </c>
      <c r="C48" s="14">
        <v>10440</v>
      </c>
      <c r="D48" s="6" t="s">
        <v>65</v>
      </c>
      <c r="E48" s="6" t="s">
        <v>88</v>
      </c>
      <c r="L48" s="10" t="s">
        <v>176</v>
      </c>
      <c r="M48" s="11">
        <v>1</v>
      </c>
      <c r="N48" s="11">
        <v>2</v>
      </c>
      <c r="O48" s="11">
        <v>3</v>
      </c>
      <c r="P48" s="11">
        <v>4</v>
      </c>
      <c r="Q48" s="11">
        <v>5</v>
      </c>
    </row>
    <row r="49" spans="2:17" x14ac:dyDescent="0.2">
      <c r="B49" s="11" t="s">
        <v>5</v>
      </c>
      <c r="C49" s="14">
        <v>3000</v>
      </c>
      <c r="D49" s="6" t="s">
        <v>65</v>
      </c>
      <c r="E49" s="6" t="s">
        <v>87</v>
      </c>
      <c r="L49" s="10" t="s">
        <v>177</v>
      </c>
      <c r="M49" s="6">
        <f>C18</f>
        <v>20</v>
      </c>
      <c r="N49" s="22">
        <f>M49*(1+$C$19)</f>
        <v>28</v>
      </c>
      <c r="O49" s="22">
        <f t="shared" ref="O49:Q49" si="8">N49*(1+$C$19)</f>
        <v>39.199999999999996</v>
      </c>
      <c r="P49" s="22">
        <f t="shared" si="8"/>
        <v>54.879999999999988</v>
      </c>
      <c r="Q49" s="22">
        <f t="shared" si="8"/>
        <v>76.831999999999979</v>
      </c>
    </row>
    <row r="50" spans="2:17" x14ac:dyDescent="0.2">
      <c r="B50" s="11" t="s">
        <v>89</v>
      </c>
      <c r="C50" s="14">
        <v>7000</v>
      </c>
      <c r="D50" s="6" t="s">
        <v>65</v>
      </c>
      <c r="E50" s="6" t="s">
        <v>87</v>
      </c>
      <c r="L50" s="10" t="s">
        <v>178</v>
      </c>
      <c r="M50" s="6">
        <v>120</v>
      </c>
      <c r="N50" s="6">
        <v>120</v>
      </c>
      <c r="O50" s="6">
        <v>120</v>
      </c>
      <c r="P50" s="6">
        <v>120</v>
      </c>
      <c r="Q50" s="6">
        <v>120</v>
      </c>
    </row>
    <row r="51" spans="2:17" x14ac:dyDescent="0.2">
      <c r="B51" s="11" t="s">
        <v>90</v>
      </c>
      <c r="C51" s="14">
        <v>12000</v>
      </c>
      <c r="D51" s="6" t="s">
        <v>65</v>
      </c>
      <c r="E51" s="6" t="s">
        <v>87</v>
      </c>
      <c r="L51" s="10" t="s">
        <v>179</v>
      </c>
      <c r="M51" s="8">
        <f>M49*M50</f>
        <v>2400</v>
      </c>
      <c r="N51" s="24">
        <f t="shared" ref="N51:Q51" si="9">N49*N50</f>
        <v>3360</v>
      </c>
      <c r="O51" s="24">
        <f t="shared" si="9"/>
        <v>4703.9999999999991</v>
      </c>
      <c r="P51" s="24">
        <f t="shared" si="9"/>
        <v>6585.5999999999985</v>
      </c>
      <c r="Q51" s="24">
        <f t="shared" si="9"/>
        <v>9219.8399999999983</v>
      </c>
    </row>
    <row r="52" spans="2:17" x14ac:dyDescent="0.2">
      <c r="B52" s="11"/>
      <c r="C52" s="14"/>
      <c r="D52" s="6"/>
      <c r="E52" s="6"/>
    </row>
    <row r="53" spans="2:17" x14ac:dyDescent="0.2">
      <c r="B53" s="11" t="s">
        <v>91</v>
      </c>
      <c r="C53" s="6">
        <v>10</v>
      </c>
      <c r="D53" s="6" t="s">
        <v>92</v>
      </c>
      <c r="E53" s="6" t="s">
        <v>93</v>
      </c>
      <c r="O53" s="13"/>
    </row>
    <row r="54" spans="2:17" x14ac:dyDescent="0.2">
      <c r="B54" s="11" t="s">
        <v>94</v>
      </c>
      <c r="C54" s="6">
        <v>120</v>
      </c>
      <c r="D54" s="6" t="s">
        <v>95</v>
      </c>
      <c r="E54" s="6" t="s">
        <v>93</v>
      </c>
      <c r="O54" s="13"/>
    </row>
    <row r="55" spans="2:17" x14ac:dyDescent="0.2">
      <c r="B55" s="11" t="s">
        <v>96</v>
      </c>
      <c r="C55" s="7">
        <v>0.03</v>
      </c>
      <c r="D55" s="6" t="s">
        <v>48</v>
      </c>
      <c r="E55" s="6" t="s">
        <v>97</v>
      </c>
      <c r="O55" s="13"/>
    </row>
    <row r="56" spans="2:17" x14ac:dyDescent="0.2">
      <c r="B56" s="11" t="s">
        <v>7</v>
      </c>
      <c r="C56" s="7">
        <v>0.15</v>
      </c>
      <c r="D56" s="6" t="s">
        <v>48</v>
      </c>
      <c r="E56" s="6" t="s">
        <v>98</v>
      </c>
      <c r="O56" s="13"/>
    </row>
    <row r="57" spans="2:17" x14ac:dyDescent="0.2">
      <c r="B57" s="11" t="s">
        <v>8</v>
      </c>
      <c r="C57" s="7">
        <v>0.02</v>
      </c>
      <c r="D57" s="6" t="s">
        <v>48</v>
      </c>
      <c r="E57" s="6" t="s">
        <v>99</v>
      </c>
      <c r="O57" s="13"/>
    </row>
    <row r="59" spans="2:17" ht="19" x14ac:dyDescent="0.25">
      <c r="B59" s="12" t="s">
        <v>100</v>
      </c>
    </row>
    <row r="60" spans="2:17" x14ac:dyDescent="0.2">
      <c r="B60" s="10" t="s">
        <v>23</v>
      </c>
      <c r="C60" s="10" t="s">
        <v>2</v>
      </c>
      <c r="D60" s="10" t="s">
        <v>24</v>
      </c>
      <c r="E60" s="10" t="s">
        <v>77</v>
      </c>
      <c r="F60" s="6"/>
      <c r="H60" s="2"/>
    </row>
    <row r="61" spans="2:17" x14ac:dyDescent="0.2">
      <c r="B61" s="11" t="s">
        <v>101</v>
      </c>
      <c r="C61" s="27">
        <v>0.25</v>
      </c>
      <c r="D61" s="28"/>
      <c r="E61" s="28" t="s">
        <v>102</v>
      </c>
      <c r="F61" s="6"/>
    </row>
    <row r="62" spans="2:17" x14ac:dyDescent="0.2">
      <c r="B62" s="11" t="s">
        <v>13</v>
      </c>
      <c r="C62" s="25">
        <v>5</v>
      </c>
      <c r="D62" s="6" t="s">
        <v>26</v>
      </c>
      <c r="E62" s="6" t="s">
        <v>103</v>
      </c>
      <c r="F62" s="6"/>
    </row>
    <row r="63" spans="2:17" x14ac:dyDescent="0.2">
      <c r="B63" s="11" t="s">
        <v>104</v>
      </c>
      <c r="C63" s="26">
        <f>C36/C62</f>
        <v>16000</v>
      </c>
      <c r="D63" s="6" t="s">
        <v>65</v>
      </c>
      <c r="E63" s="6"/>
      <c r="F63" s="6" t="s">
        <v>105</v>
      </c>
    </row>
    <row r="64" spans="2:17" x14ac:dyDescent="0.2">
      <c r="B64" s="11" t="s">
        <v>14</v>
      </c>
      <c r="C64" s="25">
        <v>4</v>
      </c>
      <c r="D64" s="6" t="s">
        <v>26</v>
      </c>
      <c r="E64" s="6" t="s">
        <v>103</v>
      </c>
      <c r="F64" s="6"/>
    </row>
    <row r="65" spans="2:6" x14ac:dyDescent="0.2">
      <c r="B65" s="11" t="s">
        <v>106</v>
      </c>
      <c r="C65" s="26">
        <f>C39/C64</f>
        <v>1875</v>
      </c>
      <c r="D65" s="6" t="s">
        <v>65</v>
      </c>
      <c r="E65" s="6"/>
      <c r="F65" s="6" t="s">
        <v>107</v>
      </c>
    </row>
    <row r="66" spans="2:6" x14ac:dyDescent="0.2">
      <c r="B66" s="11" t="s">
        <v>108</v>
      </c>
      <c r="C66" s="26">
        <f>C65+C63</f>
        <v>17875</v>
      </c>
      <c r="D66" s="6" t="s">
        <v>65</v>
      </c>
      <c r="E66" s="6" t="s">
        <v>110</v>
      </c>
      <c r="F66" s="6" t="s">
        <v>109</v>
      </c>
    </row>
    <row r="67" spans="2:6" x14ac:dyDescent="0.2">
      <c r="B67" s="11" t="s">
        <v>111</v>
      </c>
      <c r="C67" s="26">
        <f>C42</f>
        <v>25000</v>
      </c>
      <c r="D67" s="6" t="s">
        <v>74</v>
      </c>
      <c r="E67" s="6" t="s">
        <v>112</v>
      </c>
      <c r="F67" s="6"/>
    </row>
    <row r="68" spans="2:6" x14ac:dyDescent="0.2">
      <c r="B68" s="11" t="s">
        <v>16</v>
      </c>
      <c r="C68" s="26">
        <v>1500</v>
      </c>
      <c r="D68" s="6" t="s">
        <v>74</v>
      </c>
      <c r="E68" s="6" t="s">
        <v>112</v>
      </c>
      <c r="F68" s="6" t="s">
        <v>113</v>
      </c>
    </row>
    <row r="70" spans="2:6" ht="19" x14ac:dyDescent="0.25">
      <c r="B70" s="12" t="s">
        <v>114</v>
      </c>
    </row>
    <row r="71" spans="2:6" x14ac:dyDescent="0.2">
      <c r="B71" s="10" t="s">
        <v>23</v>
      </c>
      <c r="C71" s="10" t="s">
        <v>2</v>
      </c>
      <c r="D71" s="9"/>
      <c r="F71" s="2"/>
    </row>
    <row r="72" spans="2:6" x14ac:dyDescent="0.2">
      <c r="B72" s="11" t="s">
        <v>12</v>
      </c>
      <c r="C72" s="14">
        <f>C43</f>
        <v>153500</v>
      </c>
      <c r="D72" s="6"/>
    </row>
    <row r="73" spans="2:6" x14ac:dyDescent="0.2">
      <c r="B73" s="11" t="s">
        <v>18</v>
      </c>
      <c r="C73" s="14">
        <f>C72*C74</f>
        <v>61400</v>
      </c>
      <c r="D73" s="6" t="s">
        <v>115</v>
      </c>
    </row>
    <row r="74" spans="2:6" x14ac:dyDescent="0.2">
      <c r="B74" s="11" t="s">
        <v>116</v>
      </c>
      <c r="C74" s="7">
        <v>0.4</v>
      </c>
      <c r="D74" s="6"/>
    </row>
    <row r="75" spans="2:6" x14ac:dyDescent="0.2">
      <c r="B75" s="11" t="s">
        <v>117</v>
      </c>
      <c r="C75" s="14">
        <f>C72-C73</f>
        <v>92100</v>
      </c>
      <c r="D75" s="6" t="s">
        <v>118</v>
      </c>
    </row>
    <row r="76" spans="2:6" x14ac:dyDescent="0.2">
      <c r="B76" s="11" t="s">
        <v>119</v>
      </c>
      <c r="C76" s="7">
        <v>0.6</v>
      </c>
      <c r="D76" s="6"/>
    </row>
    <row r="77" spans="2:6" x14ac:dyDescent="0.2">
      <c r="B77" s="11" t="s">
        <v>120</v>
      </c>
      <c r="C77" s="7">
        <v>0.05</v>
      </c>
      <c r="D77" s="6"/>
    </row>
    <row r="78" spans="2:6" x14ac:dyDescent="0.2">
      <c r="B78" s="11" t="s">
        <v>20</v>
      </c>
      <c r="C78" s="6">
        <v>5</v>
      </c>
      <c r="D78" s="6"/>
    </row>
    <row r="79" spans="2:6" x14ac:dyDescent="0.2">
      <c r="B79" s="11" t="s">
        <v>121</v>
      </c>
      <c r="C79" s="6" t="s">
        <v>122</v>
      </c>
      <c r="D79" s="6"/>
    </row>
    <row r="80" spans="2:6" x14ac:dyDescent="0.2">
      <c r="B80" s="11" t="s">
        <v>230</v>
      </c>
      <c r="C80" s="15">
        <v>0.12</v>
      </c>
      <c r="D80" s="6"/>
    </row>
    <row r="81" spans="2:35" x14ac:dyDescent="0.2">
      <c r="B81" s="11" t="s">
        <v>223</v>
      </c>
      <c r="C81" s="15">
        <f>(1 + C80) / (1 + C82) - 1</f>
        <v>8.7378640776699212E-2</v>
      </c>
      <c r="D81" s="6"/>
    </row>
    <row r="82" spans="2:35" x14ac:dyDescent="0.2">
      <c r="B82" s="11" t="s">
        <v>224</v>
      </c>
      <c r="C82" s="15">
        <v>0.03</v>
      </c>
      <c r="D82" s="6"/>
    </row>
    <row r="83" spans="2:35" x14ac:dyDescent="0.2">
      <c r="B83" s="11" t="s">
        <v>225</v>
      </c>
      <c r="C83" s="15">
        <v>0.05</v>
      </c>
      <c r="D83" s="6"/>
    </row>
    <row r="84" spans="2:35" x14ac:dyDescent="0.2">
      <c r="B84" s="11" t="s">
        <v>226</v>
      </c>
      <c r="C84" s="15">
        <v>3.7499999999999999E-2</v>
      </c>
      <c r="D84" s="6" t="s">
        <v>123</v>
      </c>
    </row>
    <row r="85" spans="2:35" x14ac:dyDescent="0.2">
      <c r="B85" s="61" t="s">
        <v>227</v>
      </c>
      <c r="C85" s="15">
        <f>(1 + C83) / (1 + C82) - 1</f>
        <v>1.9417475728155331E-2</v>
      </c>
      <c r="D85" s="6"/>
    </row>
    <row r="86" spans="2:35" x14ac:dyDescent="0.2">
      <c r="B86" s="11" t="s">
        <v>228</v>
      </c>
      <c r="C86" s="15">
        <f>C85 * (1 - C82)</f>
        <v>1.8834951456310672E-2</v>
      </c>
      <c r="D86" s="6"/>
    </row>
    <row r="87" spans="2:35" x14ac:dyDescent="0.2">
      <c r="B87" s="11" t="s">
        <v>229</v>
      </c>
      <c r="C87" s="15">
        <f>40% * 8.74 % + 60% * 1.94 % * 75 %</f>
        <v>4.3690000000000007E-2</v>
      </c>
      <c r="D87" s="6" t="s">
        <v>124</v>
      </c>
    </row>
    <row r="88" spans="2:35" x14ac:dyDescent="0.2">
      <c r="B88" s="49"/>
      <c r="C88" s="44"/>
      <c r="D88" s="45"/>
    </row>
    <row r="90" spans="2:35" x14ac:dyDescent="0.2"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40"/>
    </row>
    <row r="91" spans="2:35" x14ac:dyDescent="0.2"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3"/>
    </row>
    <row r="94" spans="2:35" ht="22" x14ac:dyDescent="0.3">
      <c r="B94" s="46" t="s">
        <v>198</v>
      </c>
      <c r="C94" s="46"/>
      <c r="D94" s="46"/>
      <c r="E94" s="46"/>
    </row>
    <row r="96" spans="2:35" x14ac:dyDescent="0.2">
      <c r="B96" s="47"/>
      <c r="C96" s="52">
        <v>0</v>
      </c>
      <c r="D96" s="53">
        <v>1</v>
      </c>
      <c r="E96" s="53">
        <v>2</v>
      </c>
      <c r="F96" s="53">
        <v>3</v>
      </c>
      <c r="G96" s="53">
        <v>4</v>
      </c>
      <c r="H96" s="47">
        <v>5</v>
      </c>
      <c r="J96" s="32" t="s">
        <v>232</v>
      </c>
      <c r="K96" s="32"/>
    </row>
    <row r="97" spans="2:15" x14ac:dyDescent="0.2">
      <c r="B97" s="8" t="s">
        <v>203</v>
      </c>
      <c r="C97" s="6"/>
      <c r="D97" s="22">
        <f ca="1">U8</f>
        <v>37185.236216252008</v>
      </c>
      <c r="E97" s="6">
        <f ca="1">V8</f>
        <v>57503.631715659838</v>
      </c>
      <c r="F97" s="6">
        <f ca="1">W8</f>
        <v>69604.983083663828</v>
      </c>
      <c r="G97" s="6">
        <f ca="1">X8</f>
        <v>122146.02857083705</v>
      </c>
      <c r="H97" s="6">
        <f ca="1">Y8</f>
        <v>113444.56898682495</v>
      </c>
      <c r="I97" s="45"/>
      <c r="J97" s="69" t="s">
        <v>233</v>
      </c>
      <c r="K97" s="69" t="s">
        <v>234</v>
      </c>
    </row>
    <row r="98" spans="2:15" x14ac:dyDescent="0.2">
      <c r="B98" s="8" t="s">
        <v>204</v>
      </c>
      <c r="C98" s="6"/>
      <c r="D98" s="6">
        <f>D99+D100</f>
        <v>144840</v>
      </c>
      <c r="E98" s="6">
        <f t="shared" ref="E98:H98" si="10">E99+E100</f>
        <v>151106</v>
      </c>
      <c r="F98" s="6">
        <f t="shared" si="10"/>
        <v>158098.69999999998</v>
      </c>
      <c r="G98" s="6">
        <f t="shared" si="10"/>
        <v>166010.08100000003</v>
      </c>
      <c r="H98" s="6">
        <f t="shared" si="10"/>
        <v>175098.94186999998</v>
      </c>
      <c r="I98" s="45"/>
      <c r="J98" s="5">
        <v>120</v>
      </c>
      <c r="K98" s="5">
        <v>200</v>
      </c>
    </row>
    <row r="99" spans="2:15" x14ac:dyDescent="0.2">
      <c r="B99" s="11" t="s">
        <v>205</v>
      </c>
      <c r="C99" s="6"/>
      <c r="D99" s="14">
        <f>M38</f>
        <v>142440</v>
      </c>
      <c r="E99" s="14">
        <f>O38</f>
        <v>147746</v>
      </c>
      <c r="F99" s="14">
        <f>P38</f>
        <v>153394.69999999998</v>
      </c>
      <c r="G99" s="14">
        <f>Q38</f>
        <v>159424.48100000003</v>
      </c>
      <c r="H99" s="14">
        <f>R38</f>
        <v>165879.10186999998</v>
      </c>
      <c r="I99" s="45"/>
    </row>
    <row r="100" spans="2:15" ht="17" thickBot="1" x14ac:dyDescent="0.25">
      <c r="B100" s="11" t="s">
        <v>206</v>
      </c>
      <c r="C100" s="6"/>
      <c r="D100" s="6">
        <f>M51</f>
        <v>2400</v>
      </c>
      <c r="E100" s="6">
        <f>N51</f>
        <v>3360</v>
      </c>
      <c r="F100" s="6">
        <f>O51</f>
        <v>4703.9999999999991</v>
      </c>
      <c r="G100" s="6">
        <f>P51</f>
        <v>6585.5999999999985</v>
      </c>
      <c r="H100" s="6">
        <f>Q51</f>
        <v>9219.8399999999983</v>
      </c>
      <c r="I100" s="45"/>
    </row>
    <row r="101" spans="2:15" x14ac:dyDescent="0.2">
      <c r="B101" s="11" t="s">
        <v>207</v>
      </c>
      <c r="C101" s="6"/>
      <c r="D101" s="14">
        <f>$C$66</f>
        <v>17875</v>
      </c>
      <c r="E101" s="14">
        <f t="shared" ref="E101:H101" si="11">$C$66</f>
        <v>17875</v>
      </c>
      <c r="F101" s="14">
        <f t="shared" si="11"/>
        <v>17875</v>
      </c>
      <c r="G101" s="14">
        <f t="shared" si="11"/>
        <v>17875</v>
      </c>
      <c r="H101" s="14">
        <f t="shared" si="11"/>
        <v>17875</v>
      </c>
      <c r="I101" s="45"/>
      <c r="J101" s="32" t="s">
        <v>235</v>
      </c>
      <c r="K101" s="32"/>
      <c r="M101" s="74" t="s">
        <v>237</v>
      </c>
      <c r="N101" s="74" t="s">
        <v>239</v>
      </c>
      <c r="O101" s="74" t="s">
        <v>240</v>
      </c>
    </row>
    <row r="102" spans="2:15" x14ac:dyDescent="0.2">
      <c r="B102" s="11"/>
      <c r="C102" s="6"/>
      <c r="D102" s="6"/>
      <c r="E102" s="6"/>
      <c r="F102" s="6"/>
      <c r="G102" s="6"/>
      <c r="H102" s="6"/>
      <c r="I102" s="45"/>
      <c r="J102" s="69" t="s">
        <v>236</v>
      </c>
      <c r="K102" s="69" t="s">
        <v>200</v>
      </c>
      <c r="M102" s="70">
        <v>-499560.37565440149</v>
      </c>
      <c r="N102" s="70">
        <v>1</v>
      </c>
      <c r="O102" s="71">
        <v>1E-3</v>
      </c>
    </row>
    <row r="103" spans="2:15" x14ac:dyDescent="0.2">
      <c r="B103" s="8" t="s">
        <v>208</v>
      </c>
      <c r="C103" s="6"/>
      <c r="D103" s="14">
        <f ca="1">D97-D98-D101</f>
        <v>-125529.763783748</v>
      </c>
      <c r="E103" s="14">
        <f t="shared" ref="E103:H103" ca="1" si="12">E97-E98-E101</f>
        <v>-111477.36828434016</v>
      </c>
      <c r="F103" s="14">
        <f t="shared" ca="1" si="12"/>
        <v>-106368.71691633615</v>
      </c>
      <c r="G103" s="14">
        <f t="shared" ca="1" si="12"/>
        <v>-61739.052429162984</v>
      </c>
      <c r="H103" s="14">
        <f t="shared" ca="1" si="12"/>
        <v>-79529.372883175034</v>
      </c>
      <c r="I103" s="45"/>
      <c r="J103" s="6">
        <v>1</v>
      </c>
      <c r="K103" s="14">
        <f ca="1">C117</f>
        <v>-454996.04868101352</v>
      </c>
      <c r="M103" s="70">
        <v>-495538.73911513522</v>
      </c>
      <c r="N103" s="70">
        <v>3</v>
      </c>
      <c r="O103" s="71">
        <v>4.0000000000000001E-3</v>
      </c>
    </row>
    <row r="104" spans="2:15" x14ac:dyDescent="0.2">
      <c r="B104" s="11" t="s">
        <v>17</v>
      </c>
      <c r="C104" s="6"/>
      <c r="D104" s="48" t="s">
        <v>212</v>
      </c>
      <c r="E104" s="48" t="s">
        <v>212</v>
      </c>
      <c r="F104" s="48" t="s">
        <v>212</v>
      </c>
      <c r="G104" s="48" t="s">
        <v>212</v>
      </c>
      <c r="H104" s="48" t="s">
        <v>212</v>
      </c>
      <c r="I104" s="45"/>
      <c r="J104" s="6">
        <v>2</v>
      </c>
      <c r="K104" s="6">
        <f t="dataTable" ref="K104:K1102" dt2D="0" dtr="0" r1="L93" ca="1"/>
        <v>-455351.49807541497</v>
      </c>
      <c r="M104" s="70">
        <v>-491517.10257586901</v>
      </c>
      <c r="N104" s="70">
        <v>6</v>
      </c>
      <c r="O104" s="71">
        <v>0.01</v>
      </c>
    </row>
    <row r="105" spans="2:15" x14ac:dyDescent="0.2">
      <c r="B105" s="8" t="s">
        <v>209</v>
      </c>
      <c r="C105" s="6"/>
      <c r="D105" s="14">
        <f ca="1">D103</f>
        <v>-125529.763783748</v>
      </c>
      <c r="E105" s="14">
        <f t="shared" ref="E105:H105" ca="1" si="13">E103</f>
        <v>-111477.36828434016</v>
      </c>
      <c r="F105" s="14">
        <f t="shared" ca="1" si="13"/>
        <v>-106368.71691633615</v>
      </c>
      <c r="G105" s="14">
        <f t="shared" ca="1" si="13"/>
        <v>-61739.052429162984</v>
      </c>
      <c r="H105" s="14">
        <f t="shared" ca="1" si="13"/>
        <v>-79529.372883175034</v>
      </c>
      <c r="I105" s="45"/>
      <c r="J105" s="6">
        <v>3</v>
      </c>
      <c r="K105" s="6">
        <v>-457720.00122962275</v>
      </c>
      <c r="M105" s="70">
        <v>-487495.46603660274</v>
      </c>
      <c r="N105" s="70">
        <v>5</v>
      </c>
      <c r="O105" s="71">
        <v>1.4999999999999999E-2</v>
      </c>
    </row>
    <row r="106" spans="2:15" x14ac:dyDescent="0.2">
      <c r="B106" s="11"/>
      <c r="C106" s="6"/>
      <c r="D106" s="6"/>
      <c r="E106" s="6"/>
      <c r="F106" s="6"/>
      <c r="G106" s="6"/>
      <c r="H106" s="6"/>
      <c r="I106" s="45"/>
      <c r="J106" s="6">
        <v>4</v>
      </c>
      <c r="K106" s="6">
        <v>-399962.66765246924</v>
      </c>
      <c r="M106" s="70">
        <v>-483473.82949733653</v>
      </c>
      <c r="N106" s="70">
        <v>18</v>
      </c>
      <c r="O106" s="71">
        <v>3.3000000000000002E-2</v>
      </c>
    </row>
    <row r="107" spans="2:15" x14ac:dyDescent="0.2">
      <c r="B107" s="11" t="s">
        <v>210</v>
      </c>
      <c r="C107" s="6"/>
      <c r="D107" s="14">
        <f>D101</f>
        <v>17875</v>
      </c>
      <c r="E107" s="14">
        <f t="shared" ref="E107:H107" si="14">E101</f>
        <v>17875</v>
      </c>
      <c r="F107" s="14">
        <f t="shared" si="14"/>
        <v>17875</v>
      </c>
      <c r="G107" s="14">
        <f t="shared" si="14"/>
        <v>17875</v>
      </c>
      <c r="H107" s="14">
        <f t="shared" si="14"/>
        <v>17875</v>
      </c>
      <c r="I107" s="45"/>
      <c r="J107" s="6">
        <v>5</v>
      </c>
      <c r="K107" s="6">
        <v>-426984.80330532149</v>
      </c>
      <c r="M107" s="70">
        <v>-479452.19295807026</v>
      </c>
      <c r="N107" s="70">
        <v>16</v>
      </c>
      <c r="O107" s="71">
        <v>4.9000000000000002E-2</v>
      </c>
    </row>
    <row r="108" spans="2:15" x14ac:dyDescent="0.2">
      <c r="B108" s="11"/>
      <c r="C108" s="6"/>
      <c r="D108" s="6"/>
      <c r="E108" s="6"/>
      <c r="F108" s="6"/>
      <c r="G108" s="6"/>
      <c r="H108" s="6"/>
      <c r="I108" s="45"/>
      <c r="J108" s="6">
        <v>6</v>
      </c>
      <c r="K108" s="6">
        <v>-426514.58470538835</v>
      </c>
      <c r="M108" s="70">
        <v>-475430.55641880404</v>
      </c>
      <c r="N108" s="70">
        <v>19</v>
      </c>
      <c r="O108" s="71">
        <v>6.8000000000000005E-2</v>
      </c>
    </row>
    <row r="109" spans="2:15" x14ac:dyDescent="0.2">
      <c r="B109" s="8" t="s">
        <v>211</v>
      </c>
      <c r="C109" s="14">
        <f>C72</f>
        <v>153500</v>
      </c>
      <c r="D109" s="6"/>
      <c r="E109" s="6"/>
      <c r="F109" s="6"/>
      <c r="G109" s="6"/>
      <c r="H109" s="6"/>
      <c r="I109" s="45"/>
      <c r="J109" s="6">
        <v>7</v>
      </c>
      <c r="K109" s="6">
        <v>-457793.21924048476</v>
      </c>
      <c r="M109" s="70">
        <v>-471408.91987953777</v>
      </c>
      <c r="N109" s="70">
        <v>40</v>
      </c>
      <c r="O109" s="71">
        <v>0.108</v>
      </c>
    </row>
    <row r="110" spans="2:15" x14ac:dyDescent="0.2">
      <c r="B110" s="8" t="s">
        <v>111</v>
      </c>
      <c r="C110" s="6"/>
      <c r="D110" s="6"/>
      <c r="E110" s="6"/>
      <c r="F110" s="6"/>
      <c r="G110" s="6"/>
      <c r="H110" s="14">
        <f>C67</f>
        <v>25000</v>
      </c>
      <c r="I110" s="45"/>
      <c r="J110" s="6">
        <v>8</v>
      </c>
      <c r="K110" s="6">
        <v>-422825.20711934293</v>
      </c>
      <c r="M110" s="70">
        <v>-467387.28334027156</v>
      </c>
      <c r="N110" s="70">
        <v>44</v>
      </c>
      <c r="O110" s="71">
        <v>0.152</v>
      </c>
    </row>
    <row r="111" spans="2:15" x14ac:dyDescent="0.2">
      <c r="B111" s="8" t="s">
        <v>16</v>
      </c>
      <c r="C111" s="6"/>
      <c r="D111" s="6"/>
      <c r="E111" s="6"/>
      <c r="F111" s="6"/>
      <c r="G111" s="6"/>
      <c r="H111" s="14">
        <f>C68</f>
        <v>1500</v>
      </c>
      <c r="I111" s="45"/>
      <c r="J111" s="6">
        <v>9</v>
      </c>
      <c r="K111" s="6">
        <v>-494983.68990644137</v>
      </c>
      <c r="M111" s="70">
        <v>-463365.64680100529</v>
      </c>
      <c r="N111" s="70">
        <v>39</v>
      </c>
      <c r="O111" s="71">
        <v>0.191</v>
      </c>
    </row>
    <row r="112" spans="2:15" x14ac:dyDescent="0.2">
      <c r="B112" s="11"/>
      <c r="C112" s="6"/>
      <c r="D112" s="6"/>
      <c r="E112" s="6"/>
      <c r="F112" s="6"/>
      <c r="G112" s="6"/>
      <c r="H112" s="6"/>
      <c r="I112" s="45"/>
      <c r="J112" s="6">
        <v>10</v>
      </c>
      <c r="K112" s="6">
        <v>-436845.69080375746</v>
      </c>
      <c r="M112" s="70">
        <v>-459344.01026173902</v>
      </c>
      <c r="N112" s="70">
        <v>43</v>
      </c>
      <c r="O112" s="71">
        <v>0.23400000000000001</v>
      </c>
    </row>
    <row r="113" spans="2:15" x14ac:dyDescent="0.2">
      <c r="B113" s="8" t="s">
        <v>198</v>
      </c>
      <c r="C113" s="17">
        <f>-$C$109</f>
        <v>-153500</v>
      </c>
      <c r="D113" s="17">
        <f ca="1">$D$105+$D$107</f>
        <v>-107654.763783748</v>
      </c>
      <c r="E113" s="17">
        <f ca="1">$E$105+$E$107</f>
        <v>-93602.368284340162</v>
      </c>
      <c r="F113" s="17">
        <f ca="1">$F$105+$F$107</f>
        <v>-88493.716916336154</v>
      </c>
      <c r="G113" s="17">
        <f ca="1">$G$105+$G$107</f>
        <v>-43864.052429162984</v>
      </c>
      <c r="H113" s="17">
        <f ca="1">$H$105+$H$107+$H$110+$H$111</f>
        <v>-35154.372883175034</v>
      </c>
      <c r="I113" s="45"/>
      <c r="J113" s="6">
        <v>11</v>
      </c>
      <c r="K113" s="6">
        <v>-433373.62547809718</v>
      </c>
      <c r="M113" s="70">
        <v>-455322.37372247281</v>
      </c>
      <c r="N113" s="70">
        <v>40</v>
      </c>
      <c r="O113" s="71">
        <v>0.27400000000000002</v>
      </c>
    </row>
    <row r="114" spans="2:15" x14ac:dyDescent="0.2">
      <c r="B114" s="11" t="s">
        <v>213</v>
      </c>
      <c r="C114" s="15">
        <f>C81</f>
        <v>8.7378640776699212E-2</v>
      </c>
      <c r="D114" s="50">
        <f>(1+$C$114)^D96</f>
        <v>1.0873786407766992</v>
      </c>
      <c r="E114" s="50">
        <f>(1+$C$114)^E96</f>
        <v>1.182392308417382</v>
      </c>
      <c r="F114" s="50">
        <f>(1+$C$114)^F96</f>
        <v>1.2857081411917166</v>
      </c>
      <c r="G114" s="50">
        <f>(1+$C$114)^G96</f>
        <v>1.3980515710045853</v>
      </c>
      <c r="H114" s="50">
        <f>(1+$C$114)^H96</f>
        <v>1.520211417014695</v>
      </c>
      <c r="I114" s="45"/>
      <c r="J114" s="6">
        <v>12</v>
      </c>
      <c r="K114" s="6">
        <v>-428480.75938121491</v>
      </c>
      <c r="M114" s="70">
        <v>-451300.7371832066</v>
      </c>
      <c r="N114" s="70">
        <v>55</v>
      </c>
      <c r="O114" s="71">
        <v>0.32900000000000001</v>
      </c>
    </row>
    <row r="115" spans="2:15" x14ac:dyDescent="0.2">
      <c r="B115" s="11" t="s">
        <v>214</v>
      </c>
      <c r="C115" s="14">
        <f>C113</f>
        <v>-153500</v>
      </c>
      <c r="D115" s="29">
        <f ca="1">D113/D114</f>
        <v>-99003.934551125378</v>
      </c>
      <c r="E115" s="29">
        <f ca="1">E113/E114</f>
        <v>-79163.546327213364</v>
      </c>
      <c r="F115" s="29">
        <f ca="1">F113/F114</f>
        <v>-68828.775428233464</v>
      </c>
      <c r="G115" s="29">
        <f ca="1">G113/G114</f>
        <v>-31375.131889908746</v>
      </c>
      <c r="H115" s="29">
        <f ca="1">H113/H114</f>
        <v>-23124.660484532604</v>
      </c>
      <c r="I115" s="45"/>
      <c r="J115" s="6">
        <v>13</v>
      </c>
      <c r="K115" s="6">
        <v>-427016.6354325455</v>
      </c>
      <c r="M115" s="70">
        <v>-447279.10064394033</v>
      </c>
      <c r="N115" s="70">
        <v>75</v>
      </c>
      <c r="O115" s="71">
        <v>0.40400000000000003</v>
      </c>
    </row>
    <row r="116" spans="2:15" x14ac:dyDescent="0.2">
      <c r="B116" s="8" t="s">
        <v>199</v>
      </c>
      <c r="C116" s="14">
        <f>C115</f>
        <v>-153500</v>
      </c>
      <c r="D116" s="51">
        <f ca="1">C116+D115</f>
        <v>-252503.93455112539</v>
      </c>
      <c r="E116" s="51">
        <f t="shared" ref="E116:H116" ca="1" si="15">D116+E115</f>
        <v>-331667.48087833874</v>
      </c>
      <c r="F116" s="51">
        <f t="shared" ca="1" si="15"/>
        <v>-400496.25630657224</v>
      </c>
      <c r="G116" s="51">
        <f t="shared" ca="1" si="15"/>
        <v>-431871.38819648098</v>
      </c>
      <c r="H116" s="51">
        <f t="shared" ca="1" si="15"/>
        <v>-454996.04868101358</v>
      </c>
      <c r="I116" s="45"/>
      <c r="J116" s="6">
        <v>14</v>
      </c>
      <c r="K116" s="6">
        <v>-431315.04902219813</v>
      </c>
      <c r="M116" s="70">
        <v>-443257.46410467406</v>
      </c>
      <c r="N116" s="70">
        <v>71</v>
      </c>
      <c r="O116" s="71">
        <v>0.47499999999999998</v>
      </c>
    </row>
    <row r="117" spans="2:15" x14ac:dyDescent="0.2">
      <c r="B117" s="8" t="s">
        <v>200</v>
      </c>
      <c r="C117" s="17">
        <f ca="1">NPV(C81,D113:H113)+C113</f>
        <v>-454996.04868101352</v>
      </c>
      <c r="D117" s="6"/>
      <c r="E117" s="6"/>
      <c r="F117" s="6"/>
      <c r="G117" s="6"/>
      <c r="H117" s="6"/>
      <c r="I117" s="45"/>
      <c r="J117" s="6">
        <v>15</v>
      </c>
      <c r="K117" s="6">
        <v>-443038.43589768105</v>
      </c>
      <c r="M117" s="70">
        <v>-439235.82756540785</v>
      </c>
      <c r="N117" s="70">
        <v>84</v>
      </c>
      <c r="O117" s="71">
        <v>0.55900000000000005</v>
      </c>
    </row>
    <row r="118" spans="2:15" x14ac:dyDescent="0.2">
      <c r="B118" s="8" t="s">
        <v>201</v>
      </c>
      <c r="C118" s="7" t="e">
        <f ca="1">IRR(C113:H113)</f>
        <v>#NUM!</v>
      </c>
      <c r="D118" s="6"/>
      <c r="E118" s="6"/>
      <c r="F118" s="6"/>
      <c r="G118" s="6"/>
      <c r="H118" s="6"/>
      <c r="J118" s="6">
        <v>16</v>
      </c>
      <c r="K118" s="6">
        <v>-424015.90316538332</v>
      </c>
      <c r="M118" s="70">
        <v>-435214.19102614158</v>
      </c>
      <c r="N118" s="70">
        <v>61</v>
      </c>
      <c r="O118" s="71">
        <v>0.62</v>
      </c>
    </row>
    <row r="119" spans="2:15" x14ac:dyDescent="0.2">
      <c r="B119" s="8" t="s">
        <v>202</v>
      </c>
      <c r="C119" s="31">
        <f ca="1">PMT(C114,H96,C117)</f>
        <v>116181.51097922017</v>
      </c>
      <c r="D119" s="6"/>
      <c r="E119" s="6"/>
      <c r="F119" s="6"/>
      <c r="G119" s="6"/>
      <c r="H119" s="6"/>
      <c r="J119" s="6">
        <v>17</v>
      </c>
      <c r="K119" s="6">
        <v>-457382.15455634188</v>
      </c>
      <c r="M119" s="70">
        <v>-431192.55448687536</v>
      </c>
      <c r="N119" s="70">
        <v>72</v>
      </c>
      <c r="O119" s="71">
        <v>0.69199999999999995</v>
      </c>
    </row>
    <row r="120" spans="2:15" x14ac:dyDescent="0.2">
      <c r="J120" s="6">
        <v>18</v>
      </c>
      <c r="K120" s="6">
        <v>-460664.60173816839</v>
      </c>
      <c r="M120" s="70">
        <v>-427170.91794760909</v>
      </c>
      <c r="N120" s="70">
        <v>64</v>
      </c>
      <c r="O120" s="71">
        <v>0.75600000000000001</v>
      </c>
    </row>
    <row r="121" spans="2:15" x14ac:dyDescent="0.2">
      <c r="J121" s="6">
        <v>19</v>
      </c>
      <c r="K121" s="6">
        <v>-467279.32179446175</v>
      </c>
      <c r="M121" s="70">
        <v>-423149.28140834288</v>
      </c>
      <c r="N121" s="70">
        <v>51</v>
      </c>
      <c r="O121" s="71">
        <v>0.80700000000000005</v>
      </c>
    </row>
    <row r="122" spans="2:15" x14ac:dyDescent="0.2">
      <c r="J122" s="6">
        <v>20</v>
      </c>
      <c r="K122" s="6">
        <v>-406681.32481884968</v>
      </c>
      <c r="M122" s="70">
        <v>-419127.64486907661</v>
      </c>
      <c r="N122" s="70">
        <v>44</v>
      </c>
      <c r="O122" s="71">
        <v>0.85099999999999998</v>
      </c>
    </row>
    <row r="123" spans="2:15" x14ac:dyDescent="0.2">
      <c r="J123" s="6">
        <v>21</v>
      </c>
      <c r="K123" s="6">
        <v>-493826.90606366203</v>
      </c>
      <c r="M123" s="70">
        <v>-415106.00832981034</v>
      </c>
      <c r="N123" s="70">
        <v>39</v>
      </c>
      <c r="O123" s="71">
        <v>0.89</v>
      </c>
    </row>
    <row r="124" spans="2:15" x14ac:dyDescent="0.2">
      <c r="J124" s="6">
        <v>22</v>
      </c>
      <c r="K124" s="6">
        <v>-434323.48659799597</v>
      </c>
      <c r="M124" s="70">
        <v>-411084.37179054413</v>
      </c>
      <c r="N124" s="70">
        <v>32</v>
      </c>
      <c r="O124" s="71">
        <v>0.92200000000000004</v>
      </c>
    </row>
    <row r="125" spans="2:15" x14ac:dyDescent="0.2">
      <c r="J125" s="6">
        <v>23</v>
      </c>
      <c r="K125" s="6">
        <v>-473081.10393664788</v>
      </c>
      <c r="M125" s="70">
        <v>-407062.73525127792</v>
      </c>
      <c r="N125" s="70">
        <v>33</v>
      </c>
      <c r="O125" s="71">
        <v>0.95499999999999996</v>
      </c>
    </row>
    <row r="126" spans="2:15" x14ac:dyDescent="0.2">
      <c r="J126" s="6">
        <v>24</v>
      </c>
      <c r="K126" s="6">
        <v>-412831.44172723696</v>
      </c>
      <c r="M126" s="70">
        <v>-403041.09871201165</v>
      </c>
      <c r="N126" s="70">
        <v>12</v>
      </c>
      <c r="O126" s="71">
        <v>0.96699999999999997</v>
      </c>
    </row>
    <row r="127" spans="2:15" x14ac:dyDescent="0.2">
      <c r="J127" s="6">
        <v>25</v>
      </c>
      <c r="K127" s="6">
        <v>-432389.4275803676</v>
      </c>
      <c r="M127" s="70">
        <v>-399019.46217274538</v>
      </c>
      <c r="N127" s="70">
        <v>13</v>
      </c>
      <c r="O127" s="71">
        <v>0.98</v>
      </c>
    </row>
    <row r="128" spans="2:15" x14ac:dyDescent="0.2">
      <c r="J128" s="6">
        <v>26</v>
      </c>
      <c r="K128" s="6">
        <v>-462690.27835255588</v>
      </c>
      <c r="M128" s="70">
        <v>-394997.82563347917</v>
      </c>
      <c r="N128" s="70">
        <v>11</v>
      </c>
      <c r="O128" s="71">
        <v>0.99099999999999999</v>
      </c>
    </row>
    <row r="129" spans="10:15" x14ac:dyDescent="0.2">
      <c r="J129" s="6">
        <v>27</v>
      </c>
      <c r="K129" s="6">
        <v>-435027.11790632945</v>
      </c>
      <c r="M129" s="70">
        <v>-390976.1890942129</v>
      </c>
      <c r="N129" s="70">
        <v>3</v>
      </c>
      <c r="O129" s="71">
        <v>0.99399999999999999</v>
      </c>
    </row>
    <row r="130" spans="10:15" x14ac:dyDescent="0.2">
      <c r="J130" s="6">
        <v>28</v>
      </c>
      <c r="K130" s="6">
        <v>-432691.09303773835</v>
      </c>
      <c r="M130" s="70">
        <v>-386954.55255494668</v>
      </c>
      <c r="N130" s="70">
        <v>4</v>
      </c>
      <c r="O130" s="71">
        <v>0.998</v>
      </c>
    </row>
    <row r="131" spans="10:15" x14ac:dyDescent="0.2">
      <c r="J131" s="6">
        <v>29</v>
      </c>
      <c r="K131" s="6">
        <v>-416480.99612292292</v>
      </c>
      <c r="M131" s="70">
        <v>-382932.91601568041</v>
      </c>
      <c r="N131" s="70">
        <v>1</v>
      </c>
      <c r="O131" s="71">
        <v>0.999</v>
      </c>
    </row>
    <row r="132" spans="10:15" x14ac:dyDescent="0.2">
      <c r="J132" s="6">
        <v>30</v>
      </c>
      <c r="K132" s="6">
        <v>-463112.6587993612</v>
      </c>
      <c r="M132" s="70">
        <v>-378911.2794764142</v>
      </c>
      <c r="N132" s="70">
        <v>1</v>
      </c>
      <c r="O132" s="71">
        <v>1</v>
      </c>
    </row>
    <row r="133" spans="10:15" ht="17" thickBot="1" x14ac:dyDescent="0.25">
      <c r="J133" s="6">
        <v>31</v>
      </c>
      <c r="K133" s="6">
        <v>-456257.4564657053</v>
      </c>
      <c r="M133" s="72" t="s">
        <v>238</v>
      </c>
      <c r="N133" s="72">
        <v>0</v>
      </c>
      <c r="O133" s="73">
        <v>1</v>
      </c>
    </row>
    <row r="134" spans="10:15" x14ac:dyDescent="0.2">
      <c r="J134" s="6">
        <v>32</v>
      </c>
      <c r="K134" s="6">
        <v>-425317.21058209619</v>
      </c>
    </row>
    <row r="135" spans="10:15" x14ac:dyDescent="0.2">
      <c r="J135" s="6">
        <v>33</v>
      </c>
      <c r="K135" s="6">
        <v>-438809.57261573669</v>
      </c>
    </row>
    <row r="136" spans="10:15" x14ac:dyDescent="0.2">
      <c r="J136" s="6">
        <v>34</v>
      </c>
      <c r="K136" s="6">
        <v>-438984.26197139302</v>
      </c>
    </row>
    <row r="137" spans="10:15" x14ac:dyDescent="0.2">
      <c r="J137" s="6">
        <v>35</v>
      </c>
      <c r="K137" s="6">
        <v>-455646.79728299269</v>
      </c>
    </row>
    <row r="138" spans="10:15" x14ac:dyDescent="0.2">
      <c r="J138" s="6">
        <v>36</v>
      </c>
      <c r="K138" s="6">
        <v>-457481.2302158706</v>
      </c>
    </row>
    <row r="139" spans="10:15" x14ac:dyDescent="0.2">
      <c r="J139" s="6">
        <v>37</v>
      </c>
      <c r="K139" s="6">
        <v>-434673.14640970051</v>
      </c>
    </row>
    <row r="140" spans="10:15" x14ac:dyDescent="0.2">
      <c r="J140" s="6">
        <v>38</v>
      </c>
      <c r="K140" s="6">
        <v>-414804.20524093544</v>
      </c>
    </row>
    <row r="141" spans="10:15" x14ac:dyDescent="0.2">
      <c r="J141" s="6">
        <v>39</v>
      </c>
      <c r="K141" s="6">
        <v>-429646.69024879346</v>
      </c>
    </row>
    <row r="142" spans="10:15" x14ac:dyDescent="0.2">
      <c r="J142" s="6">
        <v>40</v>
      </c>
      <c r="K142" s="6">
        <v>-430587.89495963813</v>
      </c>
    </row>
    <row r="143" spans="10:15" x14ac:dyDescent="0.2">
      <c r="J143" s="6">
        <v>41</v>
      </c>
      <c r="K143" s="6">
        <v>-457828.61273329804</v>
      </c>
    </row>
    <row r="144" spans="10:15" x14ac:dyDescent="0.2">
      <c r="J144" s="6">
        <v>42</v>
      </c>
      <c r="K144" s="6">
        <v>-478259.83045822731</v>
      </c>
    </row>
    <row r="145" spans="10:11" x14ac:dyDescent="0.2">
      <c r="J145" s="6">
        <v>43</v>
      </c>
      <c r="K145" s="6">
        <v>-480079.43943860772</v>
      </c>
    </row>
    <row r="146" spans="10:11" x14ac:dyDescent="0.2">
      <c r="J146" s="6">
        <v>44</v>
      </c>
      <c r="K146" s="6">
        <v>-477994.24187248212</v>
      </c>
    </row>
    <row r="147" spans="10:11" x14ac:dyDescent="0.2">
      <c r="J147" s="6">
        <v>45</v>
      </c>
      <c r="K147" s="6">
        <v>-430893.80873792304</v>
      </c>
    </row>
    <row r="148" spans="10:11" x14ac:dyDescent="0.2">
      <c r="J148" s="6">
        <v>46</v>
      </c>
      <c r="K148" s="6">
        <v>-446143.43535184633</v>
      </c>
    </row>
    <row r="149" spans="10:11" x14ac:dyDescent="0.2">
      <c r="J149" s="6">
        <v>47</v>
      </c>
      <c r="K149" s="6">
        <v>-465475.21866493061</v>
      </c>
    </row>
    <row r="150" spans="10:11" x14ac:dyDescent="0.2">
      <c r="J150" s="6">
        <v>48</v>
      </c>
      <c r="K150" s="6">
        <v>-434172.81339041668</v>
      </c>
    </row>
    <row r="151" spans="10:11" x14ac:dyDescent="0.2">
      <c r="J151" s="6">
        <v>49</v>
      </c>
      <c r="K151" s="6">
        <v>-446265.25639507512</v>
      </c>
    </row>
    <row r="152" spans="10:11" x14ac:dyDescent="0.2">
      <c r="J152" s="6">
        <v>50</v>
      </c>
      <c r="K152" s="6">
        <v>-431869.30245704378</v>
      </c>
    </row>
    <row r="153" spans="10:11" x14ac:dyDescent="0.2">
      <c r="J153" s="6">
        <v>51</v>
      </c>
      <c r="K153" s="6">
        <v>-410765.79681821773</v>
      </c>
    </row>
    <row r="154" spans="10:11" x14ac:dyDescent="0.2">
      <c r="J154" s="6">
        <v>52</v>
      </c>
      <c r="K154" s="6">
        <v>-392526.64284690807</v>
      </c>
    </row>
    <row r="155" spans="10:11" x14ac:dyDescent="0.2">
      <c r="J155" s="6">
        <v>53</v>
      </c>
      <c r="K155" s="6">
        <v>-440048.75880654826</v>
      </c>
    </row>
    <row r="156" spans="10:11" x14ac:dyDescent="0.2">
      <c r="J156" s="6">
        <v>54</v>
      </c>
      <c r="K156" s="6">
        <v>-431740.88704985072</v>
      </c>
    </row>
    <row r="157" spans="10:11" x14ac:dyDescent="0.2">
      <c r="J157" s="6">
        <v>55</v>
      </c>
      <c r="K157" s="6">
        <v>-439834.36436119711</v>
      </c>
    </row>
    <row r="158" spans="10:11" x14ac:dyDescent="0.2">
      <c r="J158" s="6">
        <v>56</v>
      </c>
      <c r="K158" s="6">
        <v>-405729.30386514403</v>
      </c>
    </row>
    <row r="159" spans="10:11" x14ac:dyDescent="0.2">
      <c r="J159" s="6">
        <v>57</v>
      </c>
      <c r="K159" s="6">
        <v>-456108.34509070875</v>
      </c>
    </row>
    <row r="160" spans="10:11" x14ac:dyDescent="0.2">
      <c r="J160" s="6">
        <v>58</v>
      </c>
      <c r="K160" s="6">
        <v>-464265.64856436796</v>
      </c>
    </row>
    <row r="161" spans="10:11" x14ac:dyDescent="0.2">
      <c r="J161" s="6">
        <v>59</v>
      </c>
      <c r="K161" s="6">
        <v>-410918.68340365158</v>
      </c>
    </row>
    <row r="162" spans="10:11" x14ac:dyDescent="0.2">
      <c r="J162" s="6">
        <v>60</v>
      </c>
      <c r="K162" s="6">
        <v>-450921.39823005127</v>
      </c>
    </row>
    <row r="163" spans="10:11" ht="16" customHeight="1" x14ac:dyDescent="0.2">
      <c r="J163" s="6">
        <v>61</v>
      </c>
      <c r="K163" s="6">
        <v>-477269.16436853801</v>
      </c>
    </row>
    <row r="164" spans="10:11" ht="16" customHeight="1" x14ac:dyDescent="0.2">
      <c r="J164" s="6">
        <v>62</v>
      </c>
      <c r="K164" s="6">
        <v>-442983.62736648583</v>
      </c>
    </row>
    <row r="165" spans="10:11" ht="16" customHeight="1" x14ac:dyDescent="0.2">
      <c r="J165" s="6">
        <v>63</v>
      </c>
      <c r="K165" s="6">
        <v>-456751.55078378669</v>
      </c>
    </row>
    <row r="166" spans="10:11" ht="16" customHeight="1" x14ac:dyDescent="0.2">
      <c r="J166" s="6">
        <v>64</v>
      </c>
      <c r="K166" s="6">
        <v>-444551.93516670394</v>
      </c>
    </row>
    <row r="167" spans="10:11" ht="16" customHeight="1" x14ac:dyDescent="0.2">
      <c r="J167" s="6">
        <v>65</v>
      </c>
      <c r="K167" s="6">
        <v>-401502.44846264471</v>
      </c>
    </row>
    <row r="168" spans="10:11" ht="16" customHeight="1" x14ac:dyDescent="0.2">
      <c r="J168" s="6">
        <v>66</v>
      </c>
      <c r="K168" s="6">
        <v>-473778.53308901994</v>
      </c>
    </row>
    <row r="169" spans="10:11" ht="16" customHeight="1" x14ac:dyDescent="0.2">
      <c r="J169" s="6">
        <v>67</v>
      </c>
      <c r="K169" s="6">
        <v>-427766.91743702785</v>
      </c>
    </row>
    <row r="170" spans="10:11" ht="16" customHeight="1" x14ac:dyDescent="0.2">
      <c r="J170" s="6">
        <v>68</v>
      </c>
      <c r="K170" s="6">
        <v>-464820.51890047098</v>
      </c>
    </row>
    <row r="171" spans="10:11" ht="16" customHeight="1" x14ac:dyDescent="0.2">
      <c r="J171" s="6">
        <v>69</v>
      </c>
      <c r="K171" s="6">
        <v>-418538.05424495792</v>
      </c>
    </row>
    <row r="172" spans="10:11" ht="16" customHeight="1" x14ac:dyDescent="0.2">
      <c r="J172" s="6">
        <v>70</v>
      </c>
      <c r="K172" s="6">
        <v>-433471.69747476489</v>
      </c>
    </row>
    <row r="173" spans="10:11" ht="16" customHeight="1" x14ac:dyDescent="0.2">
      <c r="J173" s="6">
        <v>71</v>
      </c>
      <c r="K173" s="6">
        <v>-478434.14192970027</v>
      </c>
    </row>
    <row r="174" spans="10:11" x14ac:dyDescent="0.2">
      <c r="J174" s="6">
        <v>72</v>
      </c>
      <c r="K174" s="6">
        <v>-454310.05679209356</v>
      </c>
    </row>
    <row r="175" spans="10:11" x14ac:dyDescent="0.2">
      <c r="J175" s="6">
        <v>73</v>
      </c>
      <c r="K175" s="6">
        <v>-447016.99122107914</v>
      </c>
    </row>
    <row r="176" spans="10:11" x14ac:dyDescent="0.2">
      <c r="J176" s="6">
        <v>74</v>
      </c>
      <c r="K176" s="6">
        <v>-451292.87258432969</v>
      </c>
    </row>
    <row r="177" spans="10:11" x14ac:dyDescent="0.2">
      <c r="J177" s="6">
        <v>75</v>
      </c>
      <c r="K177" s="6">
        <v>-468597.43106076936</v>
      </c>
    </row>
    <row r="178" spans="10:11" x14ac:dyDescent="0.2">
      <c r="J178" s="6">
        <v>76</v>
      </c>
      <c r="K178" s="6">
        <v>-400867.20138545014</v>
      </c>
    </row>
    <row r="179" spans="10:11" x14ac:dyDescent="0.2">
      <c r="J179" s="6">
        <v>77</v>
      </c>
      <c r="K179" s="6">
        <v>-426605.77112869133</v>
      </c>
    </row>
    <row r="180" spans="10:11" x14ac:dyDescent="0.2">
      <c r="J180" s="6">
        <v>78</v>
      </c>
      <c r="K180" s="6">
        <v>-450871.68867423647</v>
      </c>
    </row>
    <row r="181" spans="10:11" x14ac:dyDescent="0.2">
      <c r="J181" s="6">
        <v>79</v>
      </c>
      <c r="K181" s="6">
        <v>-409117.85824555927</v>
      </c>
    </row>
    <row r="182" spans="10:11" x14ac:dyDescent="0.2">
      <c r="J182" s="6">
        <v>80</v>
      </c>
      <c r="K182" s="6">
        <v>-429843.24359700817</v>
      </c>
    </row>
    <row r="183" spans="10:11" x14ac:dyDescent="0.2">
      <c r="J183" s="6">
        <v>81</v>
      </c>
      <c r="K183" s="6">
        <v>-433234.2101221116</v>
      </c>
    </row>
    <row r="184" spans="10:11" x14ac:dyDescent="0.2">
      <c r="J184" s="6">
        <v>82</v>
      </c>
      <c r="K184" s="6">
        <v>-406133.24731078919</v>
      </c>
    </row>
    <row r="185" spans="10:11" x14ac:dyDescent="0.2">
      <c r="J185" s="6">
        <v>83</v>
      </c>
      <c r="K185" s="6">
        <v>-429814.96915606211</v>
      </c>
    </row>
    <row r="186" spans="10:11" x14ac:dyDescent="0.2">
      <c r="J186" s="6">
        <v>84</v>
      </c>
      <c r="K186" s="6">
        <v>-475567.38411437348</v>
      </c>
    </row>
    <row r="187" spans="10:11" x14ac:dyDescent="0.2">
      <c r="J187" s="6">
        <v>85</v>
      </c>
      <c r="K187" s="6">
        <v>-454845.20143774932</v>
      </c>
    </row>
    <row r="188" spans="10:11" x14ac:dyDescent="0.2">
      <c r="J188" s="6">
        <v>86</v>
      </c>
      <c r="K188" s="6">
        <v>-407551.34928595915</v>
      </c>
    </row>
    <row r="189" spans="10:11" x14ac:dyDescent="0.2">
      <c r="J189" s="6">
        <v>87</v>
      </c>
      <c r="K189" s="6">
        <v>-430489.09545665939</v>
      </c>
    </row>
    <row r="190" spans="10:11" x14ac:dyDescent="0.2">
      <c r="J190" s="6">
        <v>88</v>
      </c>
      <c r="K190" s="6">
        <v>-454033.3379555709</v>
      </c>
    </row>
    <row r="191" spans="10:11" x14ac:dyDescent="0.2">
      <c r="J191" s="6">
        <v>89</v>
      </c>
      <c r="K191" s="6">
        <v>-462872.47054721735</v>
      </c>
    </row>
    <row r="192" spans="10:11" x14ac:dyDescent="0.2">
      <c r="J192" s="6">
        <v>90</v>
      </c>
      <c r="K192" s="6">
        <v>-436999.23893464601</v>
      </c>
    </row>
    <row r="193" spans="10:11" x14ac:dyDescent="0.2">
      <c r="J193" s="6">
        <v>91</v>
      </c>
      <c r="K193" s="6">
        <v>-416656.98344109533</v>
      </c>
    </row>
    <row r="194" spans="10:11" x14ac:dyDescent="0.2">
      <c r="J194" s="6">
        <v>92</v>
      </c>
      <c r="K194" s="6">
        <v>-483100.69571252563</v>
      </c>
    </row>
    <row r="195" spans="10:11" x14ac:dyDescent="0.2">
      <c r="J195" s="6">
        <v>93</v>
      </c>
      <c r="K195" s="6">
        <v>-485512.63191886107</v>
      </c>
    </row>
    <row r="196" spans="10:11" x14ac:dyDescent="0.2">
      <c r="J196" s="6">
        <v>94</v>
      </c>
      <c r="K196" s="6">
        <v>-425345.99233080813</v>
      </c>
    </row>
    <row r="197" spans="10:11" x14ac:dyDescent="0.2">
      <c r="J197" s="6">
        <v>95</v>
      </c>
      <c r="K197" s="6">
        <v>-480494.13734979532</v>
      </c>
    </row>
    <row r="198" spans="10:11" x14ac:dyDescent="0.2">
      <c r="J198" s="6">
        <v>96</v>
      </c>
      <c r="K198" s="6">
        <v>-427042.50988909969</v>
      </c>
    </row>
    <row r="199" spans="10:11" x14ac:dyDescent="0.2">
      <c r="J199" s="6">
        <v>97</v>
      </c>
      <c r="K199" s="6">
        <v>-489424.73476906703</v>
      </c>
    </row>
    <row r="200" spans="10:11" x14ac:dyDescent="0.2">
      <c r="J200" s="6">
        <v>98</v>
      </c>
      <c r="K200" s="6">
        <v>-445159.95822985529</v>
      </c>
    </row>
    <row r="201" spans="10:11" x14ac:dyDescent="0.2">
      <c r="J201" s="6">
        <v>99</v>
      </c>
      <c r="K201" s="6">
        <v>-419704.63866145216</v>
      </c>
    </row>
    <row r="202" spans="10:11" x14ac:dyDescent="0.2">
      <c r="J202" s="6">
        <v>100</v>
      </c>
      <c r="K202" s="6">
        <v>-455320.08937629737</v>
      </c>
    </row>
    <row r="203" spans="10:11" x14ac:dyDescent="0.2">
      <c r="J203" s="6">
        <v>101</v>
      </c>
      <c r="K203" s="6">
        <v>-444172.91419639566</v>
      </c>
    </row>
    <row r="204" spans="10:11" x14ac:dyDescent="0.2">
      <c r="J204" s="6">
        <v>102</v>
      </c>
      <c r="K204" s="6">
        <v>-431438.34019296634</v>
      </c>
    </row>
    <row r="205" spans="10:11" x14ac:dyDescent="0.2">
      <c r="J205" s="6">
        <v>103</v>
      </c>
      <c r="K205" s="6">
        <v>-476077.70297578489</v>
      </c>
    </row>
    <row r="206" spans="10:11" x14ac:dyDescent="0.2">
      <c r="J206" s="6">
        <v>104</v>
      </c>
      <c r="K206" s="6">
        <v>-459209.80691339337</v>
      </c>
    </row>
    <row r="207" spans="10:11" x14ac:dyDescent="0.2">
      <c r="J207" s="6">
        <v>105</v>
      </c>
      <c r="K207" s="6">
        <v>-463154.9167911096</v>
      </c>
    </row>
    <row r="208" spans="10:11" x14ac:dyDescent="0.2">
      <c r="J208" s="6">
        <v>106</v>
      </c>
      <c r="K208" s="6">
        <v>-424688.81694064004</v>
      </c>
    </row>
    <row r="209" spans="10:11" x14ac:dyDescent="0.2">
      <c r="J209" s="6">
        <v>107</v>
      </c>
      <c r="K209" s="6">
        <v>-429906.09817464789</v>
      </c>
    </row>
    <row r="210" spans="10:11" x14ac:dyDescent="0.2">
      <c r="J210" s="6">
        <v>108</v>
      </c>
      <c r="K210" s="6">
        <v>-415640.11259486538</v>
      </c>
    </row>
    <row r="211" spans="10:11" x14ac:dyDescent="0.2">
      <c r="J211" s="6">
        <v>109</v>
      </c>
      <c r="K211" s="6">
        <v>-435640.42223879485</v>
      </c>
    </row>
    <row r="212" spans="10:11" x14ac:dyDescent="0.2">
      <c r="J212" s="6">
        <v>110</v>
      </c>
      <c r="K212" s="6">
        <v>-446596.60878253053</v>
      </c>
    </row>
    <row r="213" spans="10:11" x14ac:dyDescent="0.2">
      <c r="J213" s="6">
        <v>111</v>
      </c>
      <c r="K213" s="6">
        <v>-471808.99832601397</v>
      </c>
    </row>
    <row r="214" spans="10:11" x14ac:dyDescent="0.2">
      <c r="J214" s="6">
        <v>112</v>
      </c>
      <c r="K214" s="6">
        <v>-441716.7223207918</v>
      </c>
    </row>
    <row r="215" spans="10:11" x14ac:dyDescent="0.2">
      <c r="J215" s="6">
        <v>113</v>
      </c>
      <c r="K215" s="6">
        <v>-430749.85136964585</v>
      </c>
    </row>
    <row r="216" spans="10:11" x14ac:dyDescent="0.2">
      <c r="J216" s="6">
        <v>114</v>
      </c>
      <c r="K216" s="6">
        <v>-404352.7989504874</v>
      </c>
    </row>
    <row r="217" spans="10:11" x14ac:dyDescent="0.2">
      <c r="J217" s="6">
        <v>115</v>
      </c>
      <c r="K217" s="6">
        <v>-482254.65187145764</v>
      </c>
    </row>
    <row r="218" spans="10:11" x14ac:dyDescent="0.2">
      <c r="J218" s="6">
        <v>116</v>
      </c>
      <c r="K218" s="6">
        <v>-461060.15259706514</v>
      </c>
    </row>
    <row r="219" spans="10:11" x14ac:dyDescent="0.2">
      <c r="J219" s="6">
        <v>117</v>
      </c>
      <c r="K219" s="6">
        <v>-438649.45954295143</v>
      </c>
    </row>
    <row r="220" spans="10:11" x14ac:dyDescent="0.2">
      <c r="J220" s="6">
        <v>118</v>
      </c>
      <c r="K220" s="6">
        <v>-465691.45916098665</v>
      </c>
    </row>
    <row r="221" spans="10:11" x14ac:dyDescent="0.2">
      <c r="J221" s="6">
        <v>119</v>
      </c>
      <c r="K221" s="6">
        <v>-477958.48909426224</v>
      </c>
    </row>
    <row r="222" spans="10:11" x14ac:dyDescent="0.2">
      <c r="J222" s="6">
        <v>120</v>
      </c>
      <c r="K222" s="6">
        <v>-408060.24626199622</v>
      </c>
    </row>
    <row r="223" spans="10:11" x14ac:dyDescent="0.2">
      <c r="J223" s="6">
        <v>121</v>
      </c>
      <c r="K223" s="6">
        <v>-413958.42717211647</v>
      </c>
    </row>
    <row r="224" spans="10:11" x14ac:dyDescent="0.2">
      <c r="J224" s="6">
        <v>122</v>
      </c>
      <c r="K224" s="6">
        <v>-448861.22001349635</v>
      </c>
    </row>
    <row r="225" spans="10:11" x14ac:dyDescent="0.2">
      <c r="J225" s="6">
        <v>123</v>
      </c>
      <c r="K225" s="6">
        <v>-452473.53538042598</v>
      </c>
    </row>
    <row r="226" spans="10:11" x14ac:dyDescent="0.2">
      <c r="J226" s="6">
        <v>124</v>
      </c>
      <c r="K226" s="6">
        <v>-420925.82217977458</v>
      </c>
    </row>
    <row r="227" spans="10:11" x14ac:dyDescent="0.2">
      <c r="J227" s="6">
        <v>125</v>
      </c>
      <c r="K227" s="6">
        <v>-455539.88447692816</v>
      </c>
    </row>
    <row r="228" spans="10:11" x14ac:dyDescent="0.2">
      <c r="J228" s="6">
        <v>126</v>
      </c>
      <c r="K228" s="6">
        <v>-462989.56462631852</v>
      </c>
    </row>
    <row r="229" spans="10:11" x14ac:dyDescent="0.2">
      <c r="J229" s="6">
        <v>127</v>
      </c>
      <c r="K229" s="6">
        <v>-452858.51147466712</v>
      </c>
    </row>
    <row r="230" spans="10:11" x14ac:dyDescent="0.2">
      <c r="J230" s="6">
        <v>128</v>
      </c>
      <c r="K230" s="6">
        <v>-470827.0789567735</v>
      </c>
    </row>
    <row r="231" spans="10:11" x14ac:dyDescent="0.2">
      <c r="J231" s="6">
        <v>129</v>
      </c>
      <c r="K231" s="6">
        <v>-465895.31554267206</v>
      </c>
    </row>
    <row r="232" spans="10:11" x14ac:dyDescent="0.2">
      <c r="J232" s="6">
        <v>130</v>
      </c>
      <c r="K232" s="6">
        <v>-472575.29564951436</v>
      </c>
    </row>
    <row r="233" spans="10:11" x14ac:dyDescent="0.2">
      <c r="J233" s="6">
        <v>131</v>
      </c>
      <c r="K233" s="6">
        <v>-402953.43754597701</v>
      </c>
    </row>
    <row r="234" spans="10:11" x14ac:dyDescent="0.2">
      <c r="J234" s="6">
        <v>132</v>
      </c>
      <c r="K234" s="6">
        <v>-431962.18538152199</v>
      </c>
    </row>
    <row r="235" spans="10:11" x14ac:dyDescent="0.2">
      <c r="J235" s="6">
        <v>133</v>
      </c>
      <c r="K235" s="6">
        <v>-468776.12782449753</v>
      </c>
    </row>
    <row r="236" spans="10:11" x14ac:dyDescent="0.2">
      <c r="J236" s="6">
        <v>134</v>
      </c>
      <c r="K236" s="6">
        <v>-471806.44039793342</v>
      </c>
    </row>
    <row r="237" spans="10:11" x14ac:dyDescent="0.2">
      <c r="J237" s="6">
        <v>135</v>
      </c>
      <c r="K237" s="6">
        <v>-472049.33017503755</v>
      </c>
    </row>
    <row r="238" spans="10:11" x14ac:dyDescent="0.2">
      <c r="J238" s="6">
        <v>136</v>
      </c>
      <c r="K238" s="6">
        <v>-411706.30748040124</v>
      </c>
    </row>
    <row r="239" spans="10:11" x14ac:dyDescent="0.2">
      <c r="J239" s="6">
        <v>137</v>
      </c>
      <c r="K239" s="6">
        <v>-449002.49942661071</v>
      </c>
    </row>
    <row r="240" spans="10:11" x14ac:dyDescent="0.2">
      <c r="J240" s="6">
        <v>138</v>
      </c>
      <c r="K240" s="6">
        <v>-485197.21485962556</v>
      </c>
    </row>
    <row r="241" spans="10:11" x14ac:dyDescent="0.2">
      <c r="J241" s="6">
        <v>139</v>
      </c>
      <c r="K241" s="6">
        <v>-453475.97066830186</v>
      </c>
    </row>
    <row r="242" spans="10:11" x14ac:dyDescent="0.2">
      <c r="J242" s="6">
        <v>140</v>
      </c>
      <c r="K242" s="6">
        <v>-453092.83075656486</v>
      </c>
    </row>
    <row r="243" spans="10:11" x14ac:dyDescent="0.2">
      <c r="J243" s="6">
        <v>141</v>
      </c>
      <c r="K243" s="6">
        <v>-450480.18131693354</v>
      </c>
    </row>
    <row r="244" spans="10:11" x14ac:dyDescent="0.2">
      <c r="J244" s="6">
        <v>142</v>
      </c>
      <c r="K244" s="6">
        <v>-455057.92494800384</v>
      </c>
    </row>
    <row r="245" spans="10:11" x14ac:dyDescent="0.2">
      <c r="J245" s="6">
        <v>143</v>
      </c>
      <c r="K245" s="6">
        <v>-440189.26743196032</v>
      </c>
    </row>
    <row r="246" spans="10:11" x14ac:dyDescent="0.2">
      <c r="J246" s="6">
        <v>144</v>
      </c>
      <c r="K246" s="6">
        <v>-468846.52922684589</v>
      </c>
    </row>
    <row r="247" spans="10:11" x14ac:dyDescent="0.2">
      <c r="J247" s="6">
        <v>145</v>
      </c>
      <c r="K247" s="6">
        <v>-429096.46138896019</v>
      </c>
    </row>
    <row r="248" spans="10:11" x14ac:dyDescent="0.2">
      <c r="J248" s="6">
        <v>146</v>
      </c>
      <c r="K248" s="6">
        <v>-489970.58838665637</v>
      </c>
    </row>
    <row r="249" spans="10:11" x14ac:dyDescent="0.2">
      <c r="J249" s="6">
        <v>147</v>
      </c>
      <c r="K249" s="6">
        <v>-437979.93188967567</v>
      </c>
    </row>
    <row r="250" spans="10:11" x14ac:dyDescent="0.2">
      <c r="J250" s="6">
        <v>148</v>
      </c>
      <c r="K250" s="6">
        <v>-451692.49786899722</v>
      </c>
    </row>
    <row r="251" spans="10:11" x14ac:dyDescent="0.2">
      <c r="J251" s="6">
        <v>149</v>
      </c>
      <c r="K251" s="6">
        <v>-426509.63176349539</v>
      </c>
    </row>
    <row r="252" spans="10:11" x14ac:dyDescent="0.2">
      <c r="J252" s="6">
        <v>150</v>
      </c>
      <c r="K252" s="6">
        <v>-439163.17022689799</v>
      </c>
    </row>
    <row r="253" spans="10:11" x14ac:dyDescent="0.2">
      <c r="J253" s="6">
        <v>151</v>
      </c>
      <c r="K253" s="6">
        <v>-439769.14646719676</v>
      </c>
    </row>
    <row r="254" spans="10:11" x14ac:dyDescent="0.2">
      <c r="J254" s="6">
        <v>152</v>
      </c>
      <c r="K254" s="6">
        <v>-423802.30988308013</v>
      </c>
    </row>
    <row r="255" spans="10:11" x14ac:dyDescent="0.2">
      <c r="J255" s="6">
        <v>153</v>
      </c>
      <c r="K255" s="6">
        <v>-456629.65649466659</v>
      </c>
    </row>
    <row r="256" spans="10:11" x14ac:dyDescent="0.2">
      <c r="J256" s="6">
        <v>154</v>
      </c>
      <c r="K256" s="6">
        <v>-433103.01474872802</v>
      </c>
    </row>
    <row r="257" spans="10:11" x14ac:dyDescent="0.2">
      <c r="J257" s="6">
        <v>155</v>
      </c>
      <c r="K257" s="6">
        <v>-434781.39654985972</v>
      </c>
    </row>
    <row r="258" spans="10:11" x14ac:dyDescent="0.2">
      <c r="J258" s="6">
        <v>156</v>
      </c>
      <c r="K258" s="6">
        <v>-428842.04784317984</v>
      </c>
    </row>
    <row r="259" spans="10:11" x14ac:dyDescent="0.2">
      <c r="J259" s="6">
        <v>157</v>
      </c>
      <c r="K259" s="6">
        <v>-433329.5218016883</v>
      </c>
    </row>
    <row r="260" spans="10:11" x14ac:dyDescent="0.2">
      <c r="J260" s="6">
        <v>158</v>
      </c>
      <c r="K260" s="6">
        <v>-449581.6515891829</v>
      </c>
    </row>
    <row r="261" spans="10:11" x14ac:dyDescent="0.2">
      <c r="J261" s="6">
        <v>159</v>
      </c>
      <c r="K261" s="6">
        <v>-473410.57580487657</v>
      </c>
    </row>
    <row r="262" spans="10:11" x14ac:dyDescent="0.2">
      <c r="J262" s="6">
        <v>160</v>
      </c>
      <c r="K262" s="6">
        <v>-466021.59481054067</v>
      </c>
    </row>
    <row r="263" spans="10:11" x14ac:dyDescent="0.2">
      <c r="J263" s="6">
        <v>161</v>
      </c>
      <c r="K263" s="6">
        <v>-403365.67413220403</v>
      </c>
    </row>
    <row r="264" spans="10:11" x14ac:dyDescent="0.2">
      <c r="J264" s="6">
        <v>162</v>
      </c>
      <c r="K264" s="6">
        <v>-421416.96274599363</v>
      </c>
    </row>
    <row r="265" spans="10:11" x14ac:dyDescent="0.2">
      <c r="J265" s="6">
        <v>163</v>
      </c>
      <c r="K265" s="6">
        <v>-499468.74422008608</v>
      </c>
    </row>
    <row r="266" spans="10:11" x14ac:dyDescent="0.2">
      <c r="J266" s="6">
        <v>164</v>
      </c>
      <c r="K266" s="6">
        <v>-462456.32790047146</v>
      </c>
    </row>
    <row r="267" spans="10:11" x14ac:dyDescent="0.2">
      <c r="J267" s="6">
        <v>165</v>
      </c>
      <c r="K267" s="6">
        <v>-465835.38616546523</v>
      </c>
    </row>
    <row r="268" spans="10:11" x14ac:dyDescent="0.2">
      <c r="J268" s="6">
        <v>166</v>
      </c>
      <c r="K268" s="6">
        <v>-492487.93892985361</v>
      </c>
    </row>
    <row r="269" spans="10:11" x14ac:dyDescent="0.2">
      <c r="J269" s="6">
        <v>167</v>
      </c>
      <c r="K269" s="6">
        <v>-474491.43641622091</v>
      </c>
    </row>
    <row r="270" spans="10:11" x14ac:dyDescent="0.2">
      <c r="J270" s="6">
        <v>168</v>
      </c>
      <c r="K270" s="6">
        <v>-456956.5155265301</v>
      </c>
    </row>
    <row r="271" spans="10:11" x14ac:dyDescent="0.2">
      <c r="J271" s="6">
        <v>169</v>
      </c>
      <c r="K271" s="6">
        <v>-441528.68406728486</v>
      </c>
    </row>
    <row r="272" spans="10:11" x14ac:dyDescent="0.2">
      <c r="J272" s="6">
        <v>170</v>
      </c>
      <c r="K272" s="6">
        <v>-446810.82387920952</v>
      </c>
    </row>
    <row r="273" spans="10:11" x14ac:dyDescent="0.2">
      <c r="J273" s="6">
        <v>171</v>
      </c>
      <c r="K273" s="6">
        <v>-477894.2000008187</v>
      </c>
    </row>
    <row r="274" spans="10:11" x14ac:dyDescent="0.2">
      <c r="J274" s="6">
        <v>172</v>
      </c>
      <c r="K274" s="6">
        <v>-428381.38115360681</v>
      </c>
    </row>
    <row r="275" spans="10:11" x14ac:dyDescent="0.2">
      <c r="J275" s="6">
        <v>173</v>
      </c>
      <c r="K275" s="6">
        <v>-418548.8992800283</v>
      </c>
    </row>
    <row r="276" spans="10:11" x14ac:dyDescent="0.2">
      <c r="J276" s="6">
        <v>174</v>
      </c>
      <c r="K276" s="6">
        <v>-436358.33836432488</v>
      </c>
    </row>
    <row r="277" spans="10:11" x14ac:dyDescent="0.2">
      <c r="J277" s="6">
        <v>175</v>
      </c>
      <c r="K277" s="6">
        <v>-464807.27335533616</v>
      </c>
    </row>
    <row r="278" spans="10:11" x14ac:dyDescent="0.2">
      <c r="J278" s="6">
        <v>176</v>
      </c>
      <c r="K278" s="6">
        <v>-443275.37601107243</v>
      </c>
    </row>
    <row r="279" spans="10:11" x14ac:dyDescent="0.2">
      <c r="J279" s="6">
        <v>177</v>
      </c>
      <c r="K279" s="6">
        <v>-406617.44560892961</v>
      </c>
    </row>
    <row r="280" spans="10:11" x14ac:dyDescent="0.2">
      <c r="J280" s="6">
        <v>178</v>
      </c>
      <c r="K280" s="6">
        <v>-428880.87070681428</v>
      </c>
    </row>
    <row r="281" spans="10:11" x14ac:dyDescent="0.2">
      <c r="J281" s="6">
        <v>179</v>
      </c>
      <c r="K281" s="6">
        <v>-476352.89177522366</v>
      </c>
    </row>
    <row r="282" spans="10:11" x14ac:dyDescent="0.2">
      <c r="J282" s="6">
        <v>180</v>
      </c>
      <c r="K282" s="6">
        <v>-418952.14587828639</v>
      </c>
    </row>
    <row r="283" spans="10:11" x14ac:dyDescent="0.2">
      <c r="J283" s="6">
        <v>181</v>
      </c>
      <c r="K283" s="6">
        <v>-430380.35599472822</v>
      </c>
    </row>
    <row r="284" spans="10:11" x14ac:dyDescent="0.2">
      <c r="J284" s="6">
        <v>182</v>
      </c>
      <c r="K284" s="6">
        <v>-442311.5872964632</v>
      </c>
    </row>
    <row r="285" spans="10:11" x14ac:dyDescent="0.2">
      <c r="J285" s="6">
        <v>183</v>
      </c>
      <c r="K285" s="6">
        <v>-458419.67210419098</v>
      </c>
    </row>
    <row r="286" spans="10:11" x14ac:dyDescent="0.2">
      <c r="J286" s="6">
        <v>184</v>
      </c>
      <c r="K286" s="6">
        <v>-440481.83798838744</v>
      </c>
    </row>
    <row r="287" spans="10:11" x14ac:dyDescent="0.2">
      <c r="J287" s="6">
        <v>185</v>
      </c>
      <c r="K287" s="6">
        <v>-426947.21822671691</v>
      </c>
    </row>
    <row r="288" spans="10:11" x14ac:dyDescent="0.2">
      <c r="J288" s="6">
        <v>186</v>
      </c>
      <c r="K288" s="6">
        <v>-460256.48143237329</v>
      </c>
    </row>
    <row r="289" spans="10:11" x14ac:dyDescent="0.2">
      <c r="J289" s="6">
        <v>187</v>
      </c>
      <c r="K289" s="6">
        <v>-410437.75120300637</v>
      </c>
    </row>
    <row r="290" spans="10:11" x14ac:dyDescent="0.2">
      <c r="J290" s="6">
        <v>188</v>
      </c>
      <c r="K290" s="6">
        <v>-449132.77413159813</v>
      </c>
    </row>
    <row r="291" spans="10:11" x14ac:dyDescent="0.2">
      <c r="J291" s="6">
        <v>189</v>
      </c>
      <c r="K291" s="6">
        <v>-415929.77332660579</v>
      </c>
    </row>
    <row r="292" spans="10:11" x14ac:dyDescent="0.2">
      <c r="J292" s="6">
        <v>190</v>
      </c>
      <c r="K292" s="6">
        <v>-412844.63208918693</v>
      </c>
    </row>
    <row r="293" spans="10:11" x14ac:dyDescent="0.2">
      <c r="J293" s="6">
        <v>191</v>
      </c>
      <c r="K293" s="6">
        <v>-447178.15457913023</v>
      </c>
    </row>
    <row r="294" spans="10:11" x14ac:dyDescent="0.2">
      <c r="J294" s="6">
        <v>192</v>
      </c>
      <c r="K294" s="6">
        <v>-451194.00737301551</v>
      </c>
    </row>
    <row r="295" spans="10:11" x14ac:dyDescent="0.2">
      <c r="J295" s="6">
        <v>193</v>
      </c>
      <c r="K295" s="6">
        <v>-462801.69190189138</v>
      </c>
    </row>
    <row r="296" spans="10:11" x14ac:dyDescent="0.2">
      <c r="J296" s="6">
        <v>194</v>
      </c>
      <c r="K296" s="6">
        <v>-454384.09008495806</v>
      </c>
    </row>
    <row r="297" spans="10:11" x14ac:dyDescent="0.2">
      <c r="J297" s="6">
        <v>195</v>
      </c>
      <c r="K297" s="6">
        <v>-428953.50927607343</v>
      </c>
    </row>
    <row r="298" spans="10:11" x14ac:dyDescent="0.2">
      <c r="J298" s="6">
        <v>196</v>
      </c>
      <c r="K298" s="6">
        <v>-387198.81167299207</v>
      </c>
    </row>
    <row r="299" spans="10:11" x14ac:dyDescent="0.2">
      <c r="J299" s="6">
        <v>197</v>
      </c>
      <c r="K299" s="6">
        <v>-434795.58142939315</v>
      </c>
    </row>
    <row r="300" spans="10:11" x14ac:dyDescent="0.2">
      <c r="J300" s="6">
        <v>198</v>
      </c>
      <c r="K300" s="6">
        <v>-458877.11036286619</v>
      </c>
    </row>
    <row r="301" spans="10:11" x14ac:dyDescent="0.2">
      <c r="J301" s="6">
        <v>199</v>
      </c>
      <c r="K301" s="6">
        <v>-439510.90784593706</v>
      </c>
    </row>
    <row r="302" spans="10:11" x14ac:dyDescent="0.2">
      <c r="J302" s="6">
        <v>200</v>
      </c>
      <c r="K302" s="6">
        <v>-465046.82482112548</v>
      </c>
    </row>
    <row r="303" spans="10:11" x14ac:dyDescent="0.2">
      <c r="J303" s="6">
        <v>201</v>
      </c>
      <c r="K303" s="6">
        <v>-433481.84188911179</v>
      </c>
    </row>
    <row r="304" spans="10:11" x14ac:dyDescent="0.2">
      <c r="J304" s="6">
        <v>202</v>
      </c>
      <c r="K304" s="6">
        <v>-437344.6048815517</v>
      </c>
    </row>
    <row r="305" spans="10:11" x14ac:dyDescent="0.2">
      <c r="J305" s="6">
        <v>203</v>
      </c>
      <c r="K305" s="6">
        <v>-422086.85527221893</v>
      </c>
    </row>
    <row r="306" spans="10:11" x14ac:dyDescent="0.2">
      <c r="J306" s="6">
        <v>204</v>
      </c>
      <c r="K306" s="6">
        <v>-438328.15384230972</v>
      </c>
    </row>
    <row r="307" spans="10:11" x14ac:dyDescent="0.2">
      <c r="J307" s="6">
        <v>205</v>
      </c>
      <c r="K307" s="6">
        <v>-438826.49116881733</v>
      </c>
    </row>
    <row r="308" spans="10:11" x14ac:dyDescent="0.2">
      <c r="J308" s="6">
        <v>206</v>
      </c>
      <c r="K308" s="6">
        <v>-447789.72695694858</v>
      </c>
    </row>
    <row r="309" spans="10:11" x14ac:dyDescent="0.2">
      <c r="J309" s="6">
        <v>207</v>
      </c>
      <c r="K309" s="6">
        <v>-440137.89574522234</v>
      </c>
    </row>
    <row r="310" spans="10:11" x14ac:dyDescent="0.2">
      <c r="J310" s="6">
        <v>208</v>
      </c>
      <c r="K310" s="6">
        <v>-484219.72441980481</v>
      </c>
    </row>
    <row r="311" spans="10:11" x14ac:dyDescent="0.2">
      <c r="J311" s="6">
        <v>209</v>
      </c>
      <c r="K311" s="6">
        <v>-459964.20594949444</v>
      </c>
    </row>
    <row r="312" spans="10:11" x14ac:dyDescent="0.2">
      <c r="J312" s="6">
        <v>210</v>
      </c>
      <c r="K312" s="6">
        <v>-428681.48382623272</v>
      </c>
    </row>
    <row r="313" spans="10:11" x14ac:dyDescent="0.2">
      <c r="J313" s="6">
        <v>211</v>
      </c>
      <c r="K313" s="6">
        <v>-463513.22817747266</v>
      </c>
    </row>
    <row r="314" spans="10:11" x14ac:dyDescent="0.2">
      <c r="J314" s="6">
        <v>212</v>
      </c>
      <c r="K314" s="6">
        <v>-407798.11365480756</v>
      </c>
    </row>
    <row r="315" spans="10:11" x14ac:dyDescent="0.2">
      <c r="J315" s="6">
        <v>213</v>
      </c>
      <c r="K315" s="6">
        <v>-460140.36090274033</v>
      </c>
    </row>
    <row r="316" spans="10:11" x14ac:dyDescent="0.2">
      <c r="J316" s="6">
        <v>214</v>
      </c>
      <c r="K316" s="6">
        <v>-416838.23226240661</v>
      </c>
    </row>
    <row r="317" spans="10:11" x14ac:dyDescent="0.2">
      <c r="J317" s="6">
        <v>215</v>
      </c>
      <c r="K317" s="6">
        <v>-447544.91336670873</v>
      </c>
    </row>
    <row r="318" spans="10:11" x14ac:dyDescent="0.2">
      <c r="J318" s="6">
        <v>216</v>
      </c>
      <c r="K318" s="6">
        <v>-441500.8088961122</v>
      </c>
    </row>
    <row r="319" spans="10:11" x14ac:dyDescent="0.2">
      <c r="J319" s="6">
        <v>217</v>
      </c>
      <c r="K319" s="6">
        <v>-413556.72786162538</v>
      </c>
    </row>
    <row r="320" spans="10:11" x14ac:dyDescent="0.2">
      <c r="J320" s="6">
        <v>218</v>
      </c>
      <c r="K320" s="6">
        <v>-417944.3696317806</v>
      </c>
    </row>
    <row r="321" spans="10:11" x14ac:dyDescent="0.2">
      <c r="J321" s="6">
        <v>219</v>
      </c>
      <c r="K321" s="6">
        <v>-425133.81931767688</v>
      </c>
    </row>
    <row r="322" spans="10:11" x14ac:dyDescent="0.2">
      <c r="J322" s="6">
        <v>220</v>
      </c>
      <c r="K322" s="6">
        <v>-410898.67310508178</v>
      </c>
    </row>
    <row r="323" spans="10:11" x14ac:dyDescent="0.2">
      <c r="J323" s="6">
        <v>221</v>
      </c>
      <c r="K323" s="6">
        <v>-456556.2674688691</v>
      </c>
    </row>
    <row r="324" spans="10:11" x14ac:dyDescent="0.2">
      <c r="J324" s="6">
        <v>222</v>
      </c>
      <c r="K324" s="6">
        <v>-426585.72854593064</v>
      </c>
    </row>
    <row r="325" spans="10:11" x14ac:dyDescent="0.2">
      <c r="J325" s="6">
        <v>223</v>
      </c>
      <c r="K325" s="6">
        <v>-450281.08713832387</v>
      </c>
    </row>
    <row r="326" spans="10:11" x14ac:dyDescent="0.2">
      <c r="J326" s="6">
        <v>224</v>
      </c>
      <c r="K326" s="6">
        <v>-451806.70950830617</v>
      </c>
    </row>
    <row r="327" spans="10:11" x14ac:dyDescent="0.2">
      <c r="J327" s="6">
        <v>225</v>
      </c>
      <c r="K327" s="6">
        <v>-480044.02071926754</v>
      </c>
    </row>
    <row r="328" spans="10:11" x14ac:dyDescent="0.2">
      <c r="J328" s="6">
        <v>226</v>
      </c>
      <c r="K328" s="6">
        <v>-443876.14738636976</v>
      </c>
    </row>
    <row r="329" spans="10:11" x14ac:dyDescent="0.2">
      <c r="J329" s="6">
        <v>227</v>
      </c>
      <c r="K329" s="6">
        <v>-489913.02377025009</v>
      </c>
    </row>
    <row r="330" spans="10:11" x14ac:dyDescent="0.2">
      <c r="J330" s="6">
        <v>228</v>
      </c>
      <c r="K330" s="6">
        <v>-415933.50225505256</v>
      </c>
    </row>
    <row r="331" spans="10:11" x14ac:dyDescent="0.2">
      <c r="J331" s="6">
        <v>229</v>
      </c>
      <c r="K331" s="6">
        <v>-450667.8191755052</v>
      </c>
    </row>
    <row r="332" spans="10:11" x14ac:dyDescent="0.2">
      <c r="J332" s="6">
        <v>230</v>
      </c>
      <c r="K332" s="6">
        <v>-436089.59971802594</v>
      </c>
    </row>
    <row r="333" spans="10:11" x14ac:dyDescent="0.2">
      <c r="J333" s="6">
        <v>231</v>
      </c>
      <c r="K333" s="6">
        <v>-467862.45897366671</v>
      </c>
    </row>
    <row r="334" spans="10:11" x14ac:dyDescent="0.2">
      <c r="J334" s="6">
        <v>232</v>
      </c>
      <c r="K334" s="6">
        <v>-429991.63232764154</v>
      </c>
    </row>
    <row r="335" spans="10:11" x14ac:dyDescent="0.2">
      <c r="J335" s="6">
        <v>233</v>
      </c>
      <c r="K335" s="6">
        <v>-430529.18443537096</v>
      </c>
    </row>
    <row r="336" spans="10:11" x14ac:dyDescent="0.2">
      <c r="J336" s="6">
        <v>234</v>
      </c>
      <c r="K336" s="6">
        <v>-444476.71292819246</v>
      </c>
    </row>
    <row r="337" spans="10:11" x14ac:dyDescent="0.2">
      <c r="J337" s="6">
        <v>235</v>
      </c>
      <c r="K337" s="6">
        <v>-445707.07598339167</v>
      </c>
    </row>
    <row r="338" spans="10:11" x14ac:dyDescent="0.2">
      <c r="J338" s="6">
        <v>236</v>
      </c>
      <c r="K338" s="6">
        <v>-432558.01478575903</v>
      </c>
    </row>
    <row r="339" spans="10:11" x14ac:dyDescent="0.2">
      <c r="J339" s="6">
        <v>237</v>
      </c>
      <c r="K339" s="6">
        <v>-422702.29247695097</v>
      </c>
    </row>
    <row r="340" spans="10:11" x14ac:dyDescent="0.2">
      <c r="J340" s="6">
        <v>238</v>
      </c>
      <c r="K340" s="6">
        <v>-447127.31485142256</v>
      </c>
    </row>
    <row r="341" spans="10:11" x14ac:dyDescent="0.2">
      <c r="J341" s="6">
        <v>239</v>
      </c>
      <c r="K341" s="6">
        <v>-430397.6758523421</v>
      </c>
    </row>
    <row r="342" spans="10:11" x14ac:dyDescent="0.2">
      <c r="J342" s="6">
        <v>240</v>
      </c>
      <c r="K342" s="6">
        <v>-445828.02555494197</v>
      </c>
    </row>
    <row r="343" spans="10:11" x14ac:dyDescent="0.2">
      <c r="J343" s="6">
        <v>241</v>
      </c>
      <c r="K343" s="6">
        <v>-453253.2938997224</v>
      </c>
    </row>
    <row r="344" spans="10:11" x14ac:dyDescent="0.2">
      <c r="J344" s="6">
        <v>242</v>
      </c>
      <c r="K344" s="6">
        <v>-443004.21397635544</v>
      </c>
    </row>
    <row r="345" spans="10:11" x14ac:dyDescent="0.2">
      <c r="J345" s="6">
        <v>243</v>
      </c>
      <c r="K345" s="6">
        <v>-447594.42998026125</v>
      </c>
    </row>
    <row r="346" spans="10:11" x14ac:dyDescent="0.2">
      <c r="J346" s="6">
        <v>244</v>
      </c>
      <c r="K346" s="6">
        <v>-437155.95272284321</v>
      </c>
    </row>
    <row r="347" spans="10:11" x14ac:dyDescent="0.2">
      <c r="J347" s="6">
        <v>245</v>
      </c>
      <c r="K347" s="6">
        <v>-402416.36802256352</v>
      </c>
    </row>
    <row r="348" spans="10:11" x14ac:dyDescent="0.2">
      <c r="J348" s="6">
        <v>246</v>
      </c>
      <c r="K348" s="6">
        <v>-426921.595807862</v>
      </c>
    </row>
    <row r="349" spans="10:11" x14ac:dyDescent="0.2">
      <c r="J349" s="6">
        <v>247</v>
      </c>
      <c r="K349" s="6">
        <v>-458331.58698306564</v>
      </c>
    </row>
    <row r="350" spans="10:11" x14ac:dyDescent="0.2">
      <c r="J350" s="6">
        <v>248</v>
      </c>
      <c r="K350" s="6">
        <v>-463220.07816135068</v>
      </c>
    </row>
    <row r="351" spans="10:11" x14ac:dyDescent="0.2">
      <c r="J351" s="6">
        <v>249</v>
      </c>
      <c r="K351" s="6">
        <v>-425504.39224375639</v>
      </c>
    </row>
    <row r="352" spans="10:11" x14ac:dyDescent="0.2">
      <c r="J352" s="6">
        <v>250</v>
      </c>
      <c r="K352" s="6">
        <v>-466887.55797112786</v>
      </c>
    </row>
    <row r="353" spans="10:11" x14ac:dyDescent="0.2">
      <c r="J353" s="6">
        <v>251</v>
      </c>
      <c r="K353" s="6">
        <v>-401028.07492707809</v>
      </c>
    </row>
    <row r="354" spans="10:11" x14ac:dyDescent="0.2">
      <c r="J354" s="6">
        <v>252</v>
      </c>
      <c r="K354" s="6">
        <v>-480695.98199991498</v>
      </c>
    </row>
    <row r="355" spans="10:11" x14ac:dyDescent="0.2">
      <c r="J355" s="6">
        <v>253</v>
      </c>
      <c r="K355" s="6">
        <v>-436746.82383960864</v>
      </c>
    </row>
    <row r="356" spans="10:11" x14ac:dyDescent="0.2">
      <c r="J356" s="6">
        <v>254</v>
      </c>
      <c r="K356" s="6">
        <v>-435972.22388539987</v>
      </c>
    </row>
    <row r="357" spans="10:11" x14ac:dyDescent="0.2">
      <c r="J357" s="6">
        <v>255</v>
      </c>
      <c r="K357" s="6">
        <v>-436982.17974774388</v>
      </c>
    </row>
    <row r="358" spans="10:11" x14ac:dyDescent="0.2">
      <c r="J358" s="6">
        <v>256</v>
      </c>
      <c r="K358" s="6">
        <v>-476943.66352079203</v>
      </c>
    </row>
    <row r="359" spans="10:11" x14ac:dyDescent="0.2">
      <c r="J359" s="6">
        <v>257</v>
      </c>
      <c r="K359" s="6">
        <v>-445563.72268117632</v>
      </c>
    </row>
    <row r="360" spans="10:11" x14ac:dyDescent="0.2">
      <c r="J360" s="6">
        <v>258</v>
      </c>
      <c r="K360" s="6">
        <v>-443229.41278636677</v>
      </c>
    </row>
    <row r="361" spans="10:11" x14ac:dyDescent="0.2">
      <c r="J361" s="6">
        <v>259</v>
      </c>
      <c r="K361" s="6">
        <v>-423584.99246225291</v>
      </c>
    </row>
    <row r="362" spans="10:11" x14ac:dyDescent="0.2">
      <c r="J362" s="6">
        <v>260</v>
      </c>
      <c r="K362" s="6">
        <v>-438566.54688997607</v>
      </c>
    </row>
    <row r="363" spans="10:11" x14ac:dyDescent="0.2">
      <c r="J363" s="6">
        <v>261</v>
      </c>
      <c r="K363" s="6">
        <v>-411659.15960712126</v>
      </c>
    </row>
    <row r="364" spans="10:11" x14ac:dyDescent="0.2">
      <c r="J364" s="6">
        <v>262</v>
      </c>
      <c r="K364" s="6">
        <v>-430029.39994895569</v>
      </c>
    </row>
    <row r="365" spans="10:11" x14ac:dyDescent="0.2">
      <c r="J365" s="6">
        <v>263</v>
      </c>
      <c r="K365" s="6">
        <v>-453022.95684396185</v>
      </c>
    </row>
    <row r="366" spans="10:11" x14ac:dyDescent="0.2">
      <c r="J366" s="6">
        <v>264</v>
      </c>
      <c r="K366" s="6">
        <v>-458485.45625814202</v>
      </c>
    </row>
    <row r="367" spans="10:11" x14ac:dyDescent="0.2">
      <c r="J367" s="6">
        <v>265</v>
      </c>
      <c r="K367" s="6">
        <v>-428369.23898645298</v>
      </c>
    </row>
    <row r="368" spans="10:11" x14ac:dyDescent="0.2">
      <c r="J368" s="6">
        <v>266</v>
      </c>
      <c r="K368" s="6">
        <v>-450972.7134472499</v>
      </c>
    </row>
    <row r="369" spans="10:11" x14ac:dyDescent="0.2">
      <c r="J369" s="6">
        <v>267</v>
      </c>
      <c r="K369" s="6">
        <v>-411989.10264638689</v>
      </c>
    </row>
    <row r="370" spans="10:11" x14ac:dyDescent="0.2">
      <c r="J370" s="6">
        <v>268</v>
      </c>
      <c r="K370" s="6">
        <v>-410466.70311738394</v>
      </c>
    </row>
    <row r="371" spans="10:11" x14ac:dyDescent="0.2">
      <c r="J371" s="6">
        <v>269</v>
      </c>
      <c r="K371" s="6">
        <v>-445270.05669636716</v>
      </c>
    </row>
    <row r="372" spans="10:11" x14ac:dyDescent="0.2">
      <c r="J372" s="6">
        <v>270</v>
      </c>
      <c r="K372" s="6">
        <v>-427171.2686011669</v>
      </c>
    </row>
    <row r="373" spans="10:11" x14ac:dyDescent="0.2">
      <c r="J373" s="6">
        <v>271</v>
      </c>
      <c r="K373" s="6">
        <v>-458147.30338664772</v>
      </c>
    </row>
    <row r="374" spans="10:11" x14ac:dyDescent="0.2">
      <c r="J374" s="6">
        <v>272</v>
      </c>
      <c r="K374" s="6">
        <v>-412822.14174361504</v>
      </c>
    </row>
    <row r="375" spans="10:11" x14ac:dyDescent="0.2">
      <c r="J375" s="6">
        <v>273</v>
      </c>
      <c r="K375" s="6">
        <v>-438239.68134010001</v>
      </c>
    </row>
    <row r="376" spans="10:11" x14ac:dyDescent="0.2">
      <c r="J376" s="6">
        <v>274</v>
      </c>
      <c r="K376" s="6">
        <v>-476682.80829758028</v>
      </c>
    </row>
    <row r="377" spans="10:11" x14ac:dyDescent="0.2">
      <c r="J377" s="6">
        <v>275</v>
      </c>
      <c r="K377" s="6">
        <v>-434876.47512551508</v>
      </c>
    </row>
    <row r="378" spans="10:11" x14ac:dyDescent="0.2">
      <c r="J378" s="6">
        <v>276</v>
      </c>
      <c r="K378" s="6">
        <v>-431383.42459727539</v>
      </c>
    </row>
    <row r="379" spans="10:11" x14ac:dyDescent="0.2">
      <c r="J379" s="6">
        <v>277</v>
      </c>
      <c r="K379" s="6">
        <v>-472419.33924507443</v>
      </c>
    </row>
    <row r="380" spans="10:11" x14ac:dyDescent="0.2">
      <c r="J380" s="6">
        <v>278</v>
      </c>
      <c r="K380" s="6">
        <v>-466217.31440377102</v>
      </c>
    </row>
    <row r="381" spans="10:11" x14ac:dyDescent="0.2">
      <c r="J381" s="6">
        <v>279</v>
      </c>
      <c r="K381" s="6">
        <v>-481518.11739950383</v>
      </c>
    </row>
    <row r="382" spans="10:11" x14ac:dyDescent="0.2">
      <c r="J382" s="6">
        <v>280</v>
      </c>
      <c r="K382" s="6">
        <v>-414768.46819621156</v>
      </c>
    </row>
    <row r="383" spans="10:11" x14ac:dyDescent="0.2">
      <c r="J383" s="6">
        <v>281</v>
      </c>
      <c r="K383" s="6">
        <v>-437521.00521524413</v>
      </c>
    </row>
    <row r="384" spans="10:11" x14ac:dyDescent="0.2">
      <c r="J384" s="6">
        <v>282</v>
      </c>
      <c r="K384" s="6">
        <v>-433426.05063615984</v>
      </c>
    </row>
    <row r="385" spans="10:11" x14ac:dyDescent="0.2">
      <c r="J385" s="6">
        <v>283</v>
      </c>
      <c r="K385" s="6">
        <v>-447540.87030792941</v>
      </c>
    </row>
    <row r="386" spans="10:11" x14ac:dyDescent="0.2">
      <c r="J386" s="6">
        <v>284</v>
      </c>
      <c r="K386" s="6">
        <v>-491197.56368230795</v>
      </c>
    </row>
    <row r="387" spans="10:11" x14ac:dyDescent="0.2">
      <c r="J387" s="6">
        <v>285</v>
      </c>
      <c r="K387" s="6">
        <v>-439803.90781082498</v>
      </c>
    </row>
    <row r="388" spans="10:11" x14ac:dyDescent="0.2">
      <c r="J388" s="6">
        <v>286</v>
      </c>
      <c r="K388" s="6">
        <v>-468324.80151706265</v>
      </c>
    </row>
    <row r="389" spans="10:11" x14ac:dyDescent="0.2">
      <c r="J389" s="6">
        <v>287</v>
      </c>
      <c r="K389" s="6">
        <v>-463386.55485032062</v>
      </c>
    </row>
    <row r="390" spans="10:11" x14ac:dyDescent="0.2">
      <c r="J390" s="6">
        <v>288</v>
      </c>
      <c r="K390" s="6">
        <v>-426705.79055220436</v>
      </c>
    </row>
    <row r="391" spans="10:11" x14ac:dyDescent="0.2">
      <c r="J391" s="6">
        <v>289</v>
      </c>
      <c r="K391" s="6">
        <v>-454762.93053489272</v>
      </c>
    </row>
    <row r="392" spans="10:11" x14ac:dyDescent="0.2">
      <c r="J392" s="6">
        <v>290</v>
      </c>
      <c r="K392" s="6">
        <v>-454757.30934077344</v>
      </c>
    </row>
    <row r="393" spans="10:11" x14ac:dyDescent="0.2">
      <c r="J393" s="6">
        <v>291</v>
      </c>
      <c r="K393" s="6">
        <v>-442273.10655834182</v>
      </c>
    </row>
    <row r="394" spans="10:11" x14ac:dyDescent="0.2">
      <c r="J394" s="6">
        <v>292</v>
      </c>
      <c r="K394" s="6">
        <v>-463393.46200895438</v>
      </c>
    </row>
    <row r="395" spans="10:11" x14ac:dyDescent="0.2">
      <c r="J395" s="6">
        <v>293</v>
      </c>
      <c r="K395" s="6">
        <v>-456674.59271084698</v>
      </c>
    </row>
    <row r="396" spans="10:11" x14ac:dyDescent="0.2">
      <c r="J396" s="6">
        <v>294</v>
      </c>
      <c r="K396" s="6">
        <v>-445621.20909177221</v>
      </c>
    </row>
    <row r="397" spans="10:11" x14ac:dyDescent="0.2">
      <c r="J397" s="6">
        <v>295</v>
      </c>
      <c r="K397" s="6">
        <v>-436235.11065522151</v>
      </c>
    </row>
    <row r="398" spans="10:11" x14ac:dyDescent="0.2">
      <c r="J398" s="6">
        <v>296</v>
      </c>
      <c r="K398" s="6">
        <v>-448022.10490743397</v>
      </c>
    </row>
    <row r="399" spans="10:11" x14ac:dyDescent="0.2">
      <c r="J399" s="6">
        <v>297</v>
      </c>
      <c r="K399" s="6">
        <v>-454867.29480233166</v>
      </c>
    </row>
    <row r="400" spans="10:11" x14ac:dyDescent="0.2">
      <c r="J400" s="6">
        <v>298</v>
      </c>
      <c r="K400" s="6">
        <v>-449518.7682986763</v>
      </c>
    </row>
    <row r="401" spans="10:11" x14ac:dyDescent="0.2">
      <c r="J401" s="6">
        <v>299</v>
      </c>
      <c r="K401" s="6">
        <v>-438439.01467740507</v>
      </c>
    </row>
    <row r="402" spans="10:11" x14ac:dyDescent="0.2">
      <c r="J402" s="6">
        <v>300</v>
      </c>
      <c r="K402" s="6">
        <v>-429332.20485743851</v>
      </c>
    </row>
    <row r="403" spans="10:11" x14ac:dyDescent="0.2">
      <c r="J403" s="6">
        <v>301</v>
      </c>
      <c r="K403" s="6">
        <v>-438413.54378015362</v>
      </c>
    </row>
    <row r="404" spans="10:11" x14ac:dyDescent="0.2">
      <c r="J404" s="6">
        <v>302</v>
      </c>
      <c r="K404" s="6">
        <v>-452831.90509593603</v>
      </c>
    </row>
    <row r="405" spans="10:11" x14ac:dyDescent="0.2">
      <c r="J405" s="6">
        <v>303</v>
      </c>
      <c r="K405" s="6">
        <v>-460490.70636486122</v>
      </c>
    </row>
    <row r="406" spans="10:11" x14ac:dyDescent="0.2">
      <c r="J406" s="6">
        <v>304</v>
      </c>
      <c r="K406" s="6">
        <v>-484257.31421113748</v>
      </c>
    </row>
    <row r="407" spans="10:11" x14ac:dyDescent="0.2">
      <c r="J407" s="6">
        <v>305</v>
      </c>
      <c r="K407" s="6">
        <v>-416517.70776560274</v>
      </c>
    </row>
    <row r="408" spans="10:11" x14ac:dyDescent="0.2">
      <c r="J408" s="6">
        <v>306</v>
      </c>
      <c r="K408" s="6">
        <v>-408707.16245615727</v>
      </c>
    </row>
    <row r="409" spans="10:11" x14ac:dyDescent="0.2">
      <c r="J409" s="6">
        <v>307</v>
      </c>
      <c r="K409" s="6">
        <v>-420849.34872663376</v>
      </c>
    </row>
    <row r="410" spans="10:11" x14ac:dyDescent="0.2">
      <c r="J410" s="6">
        <v>308</v>
      </c>
      <c r="K410" s="6">
        <v>-414390.09321930155</v>
      </c>
    </row>
    <row r="411" spans="10:11" x14ac:dyDescent="0.2">
      <c r="J411" s="6">
        <v>309</v>
      </c>
      <c r="K411" s="6">
        <v>-418983.14972591278</v>
      </c>
    </row>
    <row r="412" spans="10:11" x14ac:dyDescent="0.2">
      <c r="J412" s="6">
        <v>310</v>
      </c>
      <c r="K412" s="6">
        <v>-472193.61778212868</v>
      </c>
    </row>
    <row r="413" spans="10:11" x14ac:dyDescent="0.2">
      <c r="J413" s="6">
        <v>311</v>
      </c>
      <c r="K413" s="6">
        <v>-421697.31896579795</v>
      </c>
    </row>
    <row r="414" spans="10:11" x14ac:dyDescent="0.2">
      <c r="J414" s="6">
        <v>312</v>
      </c>
      <c r="K414" s="6">
        <v>-438695.6304407703</v>
      </c>
    </row>
    <row r="415" spans="10:11" x14ac:dyDescent="0.2">
      <c r="J415" s="6">
        <v>313</v>
      </c>
      <c r="K415" s="6">
        <v>-460499.67279256094</v>
      </c>
    </row>
    <row r="416" spans="10:11" x14ac:dyDescent="0.2">
      <c r="J416" s="6">
        <v>314</v>
      </c>
      <c r="K416" s="6">
        <v>-460904.00563759962</v>
      </c>
    </row>
    <row r="417" spans="10:11" x14ac:dyDescent="0.2">
      <c r="J417" s="6">
        <v>315</v>
      </c>
      <c r="K417" s="6">
        <v>-419660.53413759376</v>
      </c>
    </row>
    <row r="418" spans="10:11" x14ac:dyDescent="0.2">
      <c r="J418" s="6">
        <v>316</v>
      </c>
      <c r="K418" s="6">
        <v>-400638.27396788786</v>
      </c>
    </row>
    <row r="419" spans="10:11" x14ac:dyDescent="0.2">
      <c r="J419" s="6">
        <v>317</v>
      </c>
      <c r="K419" s="6">
        <v>-435342.86768728623</v>
      </c>
    </row>
    <row r="420" spans="10:11" x14ac:dyDescent="0.2">
      <c r="J420" s="6">
        <v>318</v>
      </c>
      <c r="K420" s="6">
        <v>-444043.01932131784</v>
      </c>
    </row>
    <row r="421" spans="10:11" x14ac:dyDescent="0.2">
      <c r="J421" s="6">
        <v>319</v>
      </c>
      <c r="K421" s="6">
        <v>-457854.29215367092</v>
      </c>
    </row>
    <row r="422" spans="10:11" x14ac:dyDescent="0.2">
      <c r="J422" s="6">
        <v>320</v>
      </c>
      <c r="K422" s="6">
        <v>-442545.02998126729</v>
      </c>
    </row>
    <row r="423" spans="10:11" x14ac:dyDescent="0.2">
      <c r="J423" s="6">
        <v>321</v>
      </c>
      <c r="K423" s="6">
        <v>-434769.09398881125</v>
      </c>
    </row>
    <row r="424" spans="10:11" x14ac:dyDescent="0.2">
      <c r="J424" s="6">
        <v>322</v>
      </c>
      <c r="K424" s="6">
        <v>-418395.14327790105</v>
      </c>
    </row>
    <row r="425" spans="10:11" x14ac:dyDescent="0.2">
      <c r="J425" s="6">
        <v>323</v>
      </c>
      <c r="K425" s="6">
        <v>-433141.09952843265</v>
      </c>
    </row>
    <row r="426" spans="10:11" x14ac:dyDescent="0.2">
      <c r="J426" s="6">
        <v>324</v>
      </c>
      <c r="K426" s="6">
        <v>-484035.2208391116</v>
      </c>
    </row>
    <row r="427" spans="10:11" x14ac:dyDescent="0.2">
      <c r="J427" s="6">
        <v>325</v>
      </c>
      <c r="K427" s="6">
        <v>-449510.33355198364</v>
      </c>
    </row>
    <row r="428" spans="10:11" x14ac:dyDescent="0.2">
      <c r="J428" s="6">
        <v>326</v>
      </c>
      <c r="K428" s="6">
        <v>-448982.10211523168</v>
      </c>
    </row>
    <row r="429" spans="10:11" x14ac:dyDescent="0.2">
      <c r="J429" s="6">
        <v>327</v>
      </c>
      <c r="K429" s="6">
        <v>-454107.13147461932</v>
      </c>
    </row>
    <row r="430" spans="10:11" x14ac:dyDescent="0.2">
      <c r="J430" s="6">
        <v>328</v>
      </c>
      <c r="K430" s="6">
        <v>-427610.01947685832</v>
      </c>
    </row>
    <row r="431" spans="10:11" x14ac:dyDescent="0.2">
      <c r="J431" s="6">
        <v>329</v>
      </c>
      <c r="K431" s="6">
        <v>-431603.86718976987</v>
      </c>
    </row>
    <row r="432" spans="10:11" x14ac:dyDescent="0.2">
      <c r="J432" s="6">
        <v>330</v>
      </c>
      <c r="K432" s="6">
        <v>-481760.00466192554</v>
      </c>
    </row>
    <row r="433" spans="10:11" x14ac:dyDescent="0.2">
      <c r="J433" s="6">
        <v>331</v>
      </c>
      <c r="K433" s="6">
        <v>-452193.63806131168</v>
      </c>
    </row>
    <row r="434" spans="10:11" x14ac:dyDescent="0.2">
      <c r="J434" s="6">
        <v>332</v>
      </c>
      <c r="K434" s="6">
        <v>-490588.77032622474</v>
      </c>
    </row>
    <row r="435" spans="10:11" x14ac:dyDescent="0.2">
      <c r="J435" s="6">
        <v>333</v>
      </c>
      <c r="K435" s="6">
        <v>-437480.08999555936</v>
      </c>
    </row>
    <row r="436" spans="10:11" x14ac:dyDescent="0.2">
      <c r="J436" s="6">
        <v>334</v>
      </c>
      <c r="K436" s="6">
        <v>-450977.08286489628</v>
      </c>
    </row>
    <row r="437" spans="10:11" x14ac:dyDescent="0.2">
      <c r="J437" s="6">
        <v>335</v>
      </c>
      <c r="K437" s="6">
        <v>-430236.95567010256</v>
      </c>
    </row>
    <row r="438" spans="10:11" x14ac:dyDescent="0.2">
      <c r="J438" s="6">
        <v>336</v>
      </c>
      <c r="K438" s="6">
        <v>-440745.80362185551</v>
      </c>
    </row>
    <row r="439" spans="10:11" x14ac:dyDescent="0.2">
      <c r="J439" s="6">
        <v>337</v>
      </c>
      <c r="K439" s="6">
        <v>-451139.62217459321</v>
      </c>
    </row>
    <row r="440" spans="10:11" x14ac:dyDescent="0.2">
      <c r="J440" s="6">
        <v>338</v>
      </c>
      <c r="K440" s="6">
        <v>-399593.39244257513</v>
      </c>
    </row>
    <row r="441" spans="10:11" x14ac:dyDescent="0.2">
      <c r="J441" s="6">
        <v>339</v>
      </c>
      <c r="K441" s="6">
        <v>-414755.55134922103</v>
      </c>
    </row>
    <row r="442" spans="10:11" x14ac:dyDescent="0.2">
      <c r="J442" s="6">
        <v>340</v>
      </c>
      <c r="K442" s="6">
        <v>-464116.45772806997</v>
      </c>
    </row>
    <row r="443" spans="10:11" x14ac:dyDescent="0.2">
      <c r="J443" s="6">
        <v>341</v>
      </c>
      <c r="K443" s="6">
        <v>-421431.91890648194</v>
      </c>
    </row>
    <row r="444" spans="10:11" x14ac:dyDescent="0.2">
      <c r="J444" s="6">
        <v>342</v>
      </c>
      <c r="K444" s="6">
        <v>-470360.48090427218</v>
      </c>
    </row>
    <row r="445" spans="10:11" x14ac:dyDescent="0.2">
      <c r="J445" s="6">
        <v>343</v>
      </c>
      <c r="K445" s="6">
        <v>-436467.26375327306</v>
      </c>
    </row>
    <row r="446" spans="10:11" x14ac:dyDescent="0.2">
      <c r="J446" s="6">
        <v>344</v>
      </c>
      <c r="K446" s="6">
        <v>-495024.01390470826</v>
      </c>
    </row>
    <row r="447" spans="10:11" x14ac:dyDescent="0.2">
      <c r="J447" s="6">
        <v>345</v>
      </c>
      <c r="K447" s="6">
        <v>-447225.48187819246</v>
      </c>
    </row>
    <row r="448" spans="10:11" x14ac:dyDescent="0.2">
      <c r="J448" s="6">
        <v>346</v>
      </c>
      <c r="K448" s="6">
        <v>-447139.44721945527</v>
      </c>
    </row>
    <row r="449" spans="10:11" x14ac:dyDescent="0.2">
      <c r="J449" s="6">
        <v>347</v>
      </c>
      <c r="K449" s="6">
        <v>-442174.15065160545</v>
      </c>
    </row>
    <row r="450" spans="10:11" x14ac:dyDescent="0.2">
      <c r="J450" s="6">
        <v>348</v>
      </c>
      <c r="K450" s="6">
        <v>-450966.87262960977</v>
      </c>
    </row>
    <row r="451" spans="10:11" x14ac:dyDescent="0.2">
      <c r="J451" s="6">
        <v>349</v>
      </c>
      <c r="K451" s="6">
        <v>-427749.09687349392</v>
      </c>
    </row>
    <row r="452" spans="10:11" x14ac:dyDescent="0.2">
      <c r="J452" s="6">
        <v>350</v>
      </c>
      <c r="K452" s="6">
        <v>-446041.8819577691</v>
      </c>
    </row>
    <row r="453" spans="10:11" x14ac:dyDescent="0.2">
      <c r="J453" s="6">
        <v>351</v>
      </c>
      <c r="K453" s="6">
        <v>-462744.96026709565</v>
      </c>
    </row>
    <row r="454" spans="10:11" x14ac:dyDescent="0.2">
      <c r="J454" s="6">
        <v>352</v>
      </c>
      <c r="K454" s="6">
        <v>-461949.10397915565</v>
      </c>
    </row>
    <row r="455" spans="10:11" x14ac:dyDescent="0.2">
      <c r="J455" s="6">
        <v>353</v>
      </c>
      <c r="K455" s="6">
        <v>-463620.42840579647</v>
      </c>
    </row>
    <row r="456" spans="10:11" x14ac:dyDescent="0.2">
      <c r="J456" s="6">
        <v>354</v>
      </c>
      <c r="K456" s="6">
        <v>-440669.06305177481</v>
      </c>
    </row>
    <row r="457" spans="10:11" x14ac:dyDescent="0.2">
      <c r="J457" s="6">
        <v>355</v>
      </c>
      <c r="K457" s="6">
        <v>-422483.290241796</v>
      </c>
    </row>
    <row r="458" spans="10:11" x14ac:dyDescent="0.2">
      <c r="J458" s="6">
        <v>356</v>
      </c>
      <c r="K458" s="6">
        <v>-404536.42779947387</v>
      </c>
    </row>
    <row r="459" spans="10:11" x14ac:dyDescent="0.2">
      <c r="J459" s="6">
        <v>357</v>
      </c>
      <c r="K459" s="6">
        <v>-485441.93031092861</v>
      </c>
    </row>
    <row r="460" spans="10:11" x14ac:dyDescent="0.2">
      <c r="J460" s="6">
        <v>358</v>
      </c>
      <c r="K460" s="6">
        <v>-451365.80385496991</v>
      </c>
    </row>
    <row r="461" spans="10:11" x14ac:dyDescent="0.2">
      <c r="J461" s="6">
        <v>359</v>
      </c>
      <c r="K461" s="6">
        <v>-451045.4150308065</v>
      </c>
    </row>
    <row r="462" spans="10:11" x14ac:dyDescent="0.2">
      <c r="J462" s="6">
        <v>360</v>
      </c>
      <c r="K462" s="6">
        <v>-429633.3288388669</v>
      </c>
    </row>
    <row r="463" spans="10:11" x14ac:dyDescent="0.2">
      <c r="J463" s="6">
        <v>361</v>
      </c>
      <c r="K463" s="6">
        <v>-447177.00331283349</v>
      </c>
    </row>
    <row r="464" spans="10:11" x14ac:dyDescent="0.2">
      <c r="J464" s="6">
        <v>362</v>
      </c>
      <c r="K464" s="6">
        <v>-430666.85588669032</v>
      </c>
    </row>
    <row r="465" spans="10:11" x14ac:dyDescent="0.2">
      <c r="J465" s="6">
        <v>363</v>
      </c>
      <c r="K465" s="6">
        <v>-447745.3873394382</v>
      </c>
    </row>
    <row r="466" spans="10:11" x14ac:dyDescent="0.2">
      <c r="J466" s="6">
        <v>364</v>
      </c>
      <c r="K466" s="6">
        <v>-443687.48580019275</v>
      </c>
    </row>
    <row r="467" spans="10:11" x14ac:dyDescent="0.2">
      <c r="J467" s="6">
        <v>365</v>
      </c>
      <c r="K467" s="6">
        <v>-432912.66885154898</v>
      </c>
    </row>
    <row r="468" spans="10:11" x14ac:dyDescent="0.2">
      <c r="J468" s="6">
        <v>366</v>
      </c>
      <c r="K468" s="6">
        <v>-442906.25512432354</v>
      </c>
    </row>
    <row r="469" spans="10:11" x14ac:dyDescent="0.2">
      <c r="J469" s="6">
        <v>367</v>
      </c>
      <c r="K469" s="6">
        <v>-418246.08163744002</v>
      </c>
    </row>
    <row r="470" spans="10:11" x14ac:dyDescent="0.2">
      <c r="J470" s="6">
        <v>368</v>
      </c>
      <c r="K470" s="6">
        <v>-401247.80903508246</v>
      </c>
    </row>
    <row r="471" spans="10:11" x14ac:dyDescent="0.2">
      <c r="J471" s="6">
        <v>369</v>
      </c>
      <c r="K471" s="6">
        <v>-459957.1858153388</v>
      </c>
    </row>
    <row r="472" spans="10:11" x14ac:dyDescent="0.2">
      <c r="J472" s="6">
        <v>370</v>
      </c>
      <c r="K472" s="6">
        <v>-412410.79634225141</v>
      </c>
    </row>
    <row r="473" spans="10:11" x14ac:dyDescent="0.2">
      <c r="J473" s="6">
        <v>371</v>
      </c>
      <c r="K473" s="6">
        <v>-430240.26015483926</v>
      </c>
    </row>
    <row r="474" spans="10:11" x14ac:dyDescent="0.2">
      <c r="J474" s="6">
        <v>372</v>
      </c>
      <c r="K474" s="6">
        <v>-434593.60772865982</v>
      </c>
    </row>
    <row r="475" spans="10:11" x14ac:dyDescent="0.2">
      <c r="J475" s="6">
        <v>373</v>
      </c>
      <c r="K475" s="6">
        <v>-434224.21987354447</v>
      </c>
    </row>
    <row r="476" spans="10:11" x14ac:dyDescent="0.2">
      <c r="J476" s="6">
        <v>374</v>
      </c>
      <c r="K476" s="6">
        <v>-421499.89431635704</v>
      </c>
    </row>
    <row r="477" spans="10:11" x14ac:dyDescent="0.2">
      <c r="J477" s="6">
        <v>375</v>
      </c>
      <c r="K477" s="6">
        <v>-462964.37997931632</v>
      </c>
    </row>
    <row r="478" spans="10:11" x14ac:dyDescent="0.2">
      <c r="J478" s="6">
        <v>376</v>
      </c>
      <c r="K478" s="6">
        <v>-431531.03535407706</v>
      </c>
    </row>
    <row r="479" spans="10:11" x14ac:dyDescent="0.2">
      <c r="J479" s="6">
        <v>377</v>
      </c>
      <c r="K479" s="6">
        <v>-444619.7665944703</v>
      </c>
    </row>
    <row r="480" spans="10:11" x14ac:dyDescent="0.2">
      <c r="J480" s="6">
        <v>378</v>
      </c>
      <c r="K480" s="6">
        <v>-449691.47202073084</v>
      </c>
    </row>
    <row r="481" spans="10:11" x14ac:dyDescent="0.2">
      <c r="J481" s="6">
        <v>379</v>
      </c>
      <c r="K481" s="6">
        <v>-388569.64329286141</v>
      </c>
    </row>
    <row r="482" spans="10:11" x14ac:dyDescent="0.2">
      <c r="J482" s="6">
        <v>380</v>
      </c>
      <c r="K482" s="6">
        <v>-418433.50038356089</v>
      </c>
    </row>
    <row r="483" spans="10:11" x14ac:dyDescent="0.2">
      <c r="J483" s="6">
        <v>381</v>
      </c>
      <c r="K483" s="6">
        <v>-451919.52482090628</v>
      </c>
    </row>
    <row r="484" spans="10:11" x14ac:dyDescent="0.2">
      <c r="J484" s="6">
        <v>382</v>
      </c>
      <c r="K484" s="6">
        <v>-450867.55547498516</v>
      </c>
    </row>
    <row r="485" spans="10:11" x14ac:dyDescent="0.2">
      <c r="J485" s="6">
        <v>383</v>
      </c>
      <c r="K485" s="6">
        <v>-444567.82276784978</v>
      </c>
    </row>
    <row r="486" spans="10:11" x14ac:dyDescent="0.2">
      <c r="J486" s="6">
        <v>384</v>
      </c>
      <c r="K486" s="6">
        <v>-397010.99366876355</v>
      </c>
    </row>
    <row r="487" spans="10:11" x14ac:dyDescent="0.2">
      <c r="J487" s="6">
        <v>385</v>
      </c>
      <c r="K487" s="6">
        <v>-456476.25951048773</v>
      </c>
    </row>
    <row r="488" spans="10:11" x14ac:dyDescent="0.2">
      <c r="J488" s="6">
        <v>386</v>
      </c>
      <c r="K488" s="6">
        <v>-446655.5300278074</v>
      </c>
    </row>
    <row r="489" spans="10:11" x14ac:dyDescent="0.2">
      <c r="J489" s="6">
        <v>387</v>
      </c>
      <c r="K489" s="6">
        <v>-441516.67965009593</v>
      </c>
    </row>
    <row r="490" spans="10:11" x14ac:dyDescent="0.2">
      <c r="J490" s="6">
        <v>388</v>
      </c>
      <c r="K490" s="6">
        <v>-429446.59524124593</v>
      </c>
    </row>
    <row r="491" spans="10:11" x14ac:dyDescent="0.2">
      <c r="J491" s="6">
        <v>389</v>
      </c>
      <c r="K491" s="6">
        <v>-441901.60033163172</v>
      </c>
    </row>
    <row r="492" spans="10:11" x14ac:dyDescent="0.2">
      <c r="J492" s="6">
        <v>390</v>
      </c>
      <c r="K492" s="6">
        <v>-425745.58920185897</v>
      </c>
    </row>
    <row r="493" spans="10:11" x14ac:dyDescent="0.2">
      <c r="J493" s="6">
        <v>391</v>
      </c>
      <c r="K493" s="6">
        <v>-466012.55069203698</v>
      </c>
    </row>
    <row r="494" spans="10:11" x14ac:dyDescent="0.2">
      <c r="J494" s="6">
        <v>392</v>
      </c>
      <c r="K494" s="6">
        <v>-425386.46741415391</v>
      </c>
    </row>
    <row r="495" spans="10:11" x14ac:dyDescent="0.2">
      <c r="J495" s="6">
        <v>393</v>
      </c>
      <c r="K495" s="6">
        <v>-417280.79644228151</v>
      </c>
    </row>
    <row r="496" spans="10:11" x14ac:dyDescent="0.2">
      <c r="J496" s="6">
        <v>394</v>
      </c>
      <c r="K496" s="6">
        <v>-458800.686263902</v>
      </c>
    </row>
    <row r="497" spans="10:11" x14ac:dyDescent="0.2">
      <c r="J497" s="6">
        <v>395</v>
      </c>
      <c r="K497" s="6">
        <v>-470741.88590058929</v>
      </c>
    </row>
    <row r="498" spans="10:11" x14ac:dyDescent="0.2">
      <c r="J498" s="6">
        <v>396</v>
      </c>
      <c r="K498" s="6">
        <v>-447117.39088794967</v>
      </c>
    </row>
    <row r="499" spans="10:11" x14ac:dyDescent="0.2">
      <c r="J499" s="6">
        <v>397</v>
      </c>
      <c r="K499" s="6">
        <v>-440396.72458995722</v>
      </c>
    </row>
    <row r="500" spans="10:11" x14ac:dyDescent="0.2">
      <c r="J500" s="6">
        <v>398</v>
      </c>
      <c r="K500" s="6">
        <v>-433910.67677750339</v>
      </c>
    </row>
    <row r="501" spans="10:11" x14ac:dyDescent="0.2">
      <c r="J501" s="6">
        <v>399</v>
      </c>
      <c r="K501" s="6">
        <v>-467462.90228710033</v>
      </c>
    </row>
    <row r="502" spans="10:11" x14ac:dyDescent="0.2">
      <c r="J502" s="6">
        <v>400</v>
      </c>
      <c r="K502" s="6">
        <v>-417172.45408988075</v>
      </c>
    </row>
    <row r="503" spans="10:11" x14ac:dyDescent="0.2">
      <c r="J503" s="6">
        <v>401</v>
      </c>
      <c r="K503" s="6">
        <v>-386913.52904694201</v>
      </c>
    </row>
    <row r="504" spans="10:11" x14ac:dyDescent="0.2">
      <c r="J504" s="6">
        <v>402</v>
      </c>
      <c r="K504" s="6">
        <v>-422238.59186944144</v>
      </c>
    </row>
    <row r="505" spans="10:11" x14ac:dyDescent="0.2">
      <c r="J505" s="6">
        <v>403</v>
      </c>
      <c r="K505" s="6">
        <v>-454410.60268249596</v>
      </c>
    </row>
    <row r="506" spans="10:11" x14ac:dyDescent="0.2">
      <c r="J506" s="6">
        <v>404</v>
      </c>
      <c r="K506" s="6">
        <v>-454613.95114486432</v>
      </c>
    </row>
    <row r="507" spans="10:11" x14ac:dyDescent="0.2">
      <c r="J507" s="6">
        <v>405</v>
      </c>
      <c r="K507" s="6">
        <v>-443152.38164488948</v>
      </c>
    </row>
    <row r="508" spans="10:11" x14ac:dyDescent="0.2">
      <c r="J508" s="6">
        <v>406</v>
      </c>
      <c r="K508" s="6">
        <v>-449281.83752928505</v>
      </c>
    </row>
    <row r="509" spans="10:11" x14ac:dyDescent="0.2">
      <c r="J509" s="6">
        <v>407</v>
      </c>
      <c r="K509" s="6">
        <v>-404179.88469631108</v>
      </c>
    </row>
    <row r="510" spans="10:11" x14ac:dyDescent="0.2">
      <c r="J510" s="6">
        <v>408</v>
      </c>
      <c r="K510" s="6">
        <v>-437734.15894930647</v>
      </c>
    </row>
    <row r="511" spans="10:11" x14ac:dyDescent="0.2">
      <c r="J511" s="6">
        <v>409</v>
      </c>
      <c r="K511" s="6">
        <v>-409940.261709071</v>
      </c>
    </row>
    <row r="512" spans="10:11" x14ac:dyDescent="0.2">
      <c r="J512" s="6">
        <v>410</v>
      </c>
      <c r="K512" s="6">
        <v>-434742.66594686458</v>
      </c>
    </row>
    <row r="513" spans="10:11" x14ac:dyDescent="0.2">
      <c r="J513" s="6">
        <v>411</v>
      </c>
      <c r="K513" s="6">
        <v>-436860.686825082</v>
      </c>
    </row>
    <row r="514" spans="10:11" x14ac:dyDescent="0.2">
      <c r="J514" s="6">
        <v>412</v>
      </c>
      <c r="K514" s="6">
        <v>-418119.8812972235</v>
      </c>
    </row>
    <row r="515" spans="10:11" x14ac:dyDescent="0.2">
      <c r="J515" s="6">
        <v>413</v>
      </c>
      <c r="K515" s="6">
        <v>-433664.31774087436</v>
      </c>
    </row>
    <row r="516" spans="10:11" x14ac:dyDescent="0.2">
      <c r="J516" s="6">
        <v>414</v>
      </c>
      <c r="K516" s="6">
        <v>-425001.6210448537</v>
      </c>
    </row>
    <row r="517" spans="10:11" x14ac:dyDescent="0.2">
      <c r="J517" s="6">
        <v>415</v>
      </c>
      <c r="K517" s="6">
        <v>-440474.48781590041</v>
      </c>
    </row>
    <row r="518" spans="10:11" x14ac:dyDescent="0.2">
      <c r="J518" s="6">
        <v>416</v>
      </c>
      <c r="K518" s="6">
        <v>-415886.17459414393</v>
      </c>
    </row>
    <row r="519" spans="10:11" x14ac:dyDescent="0.2">
      <c r="J519" s="6">
        <v>417</v>
      </c>
      <c r="K519" s="6">
        <v>-470382.47308735759</v>
      </c>
    </row>
    <row r="520" spans="10:11" x14ac:dyDescent="0.2">
      <c r="J520" s="6">
        <v>418</v>
      </c>
      <c r="K520" s="6">
        <v>-466415.65948777465</v>
      </c>
    </row>
    <row r="521" spans="10:11" x14ac:dyDescent="0.2">
      <c r="J521" s="6">
        <v>419</v>
      </c>
      <c r="K521" s="6">
        <v>-492061.38647052372</v>
      </c>
    </row>
    <row r="522" spans="10:11" x14ac:dyDescent="0.2">
      <c r="J522" s="6">
        <v>420</v>
      </c>
      <c r="K522" s="6">
        <v>-453168.00744273851</v>
      </c>
    </row>
    <row r="523" spans="10:11" x14ac:dyDescent="0.2">
      <c r="J523" s="6">
        <v>421</v>
      </c>
      <c r="K523" s="6">
        <v>-421143.14719233755</v>
      </c>
    </row>
    <row r="524" spans="10:11" x14ac:dyDescent="0.2">
      <c r="J524" s="6">
        <v>422</v>
      </c>
      <c r="K524" s="6">
        <v>-431931.0031537672</v>
      </c>
    </row>
    <row r="525" spans="10:11" x14ac:dyDescent="0.2">
      <c r="J525" s="6">
        <v>423</v>
      </c>
      <c r="K525" s="6">
        <v>-477782.60489456152</v>
      </c>
    </row>
    <row r="526" spans="10:11" x14ac:dyDescent="0.2">
      <c r="J526" s="6">
        <v>424</v>
      </c>
      <c r="K526" s="6">
        <v>-418834.26232906518</v>
      </c>
    </row>
    <row r="527" spans="10:11" x14ac:dyDescent="0.2">
      <c r="J527" s="6">
        <v>425</v>
      </c>
      <c r="K527" s="6">
        <v>-420428.08054429997</v>
      </c>
    </row>
    <row r="528" spans="10:11" x14ac:dyDescent="0.2">
      <c r="J528" s="6">
        <v>426</v>
      </c>
      <c r="K528" s="6">
        <v>-441830.36262384162</v>
      </c>
    </row>
    <row r="529" spans="10:11" x14ac:dyDescent="0.2">
      <c r="J529" s="6">
        <v>427</v>
      </c>
      <c r="K529" s="6">
        <v>-433023.15559778328</v>
      </c>
    </row>
    <row r="530" spans="10:11" x14ac:dyDescent="0.2">
      <c r="J530" s="6">
        <v>428</v>
      </c>
      <c r="K530" s="6">
        <v>-448415.54475551739</v>
      </c>
    </row>
    <row r="531" spans="10:11" x14ac:dyDescent="0.2">
      <c r="J531" s="6">
        <v>429</v>
      </c>
      <c r="K531" s="6">
        <v>-446340.27278035722</v>
      </c>
    </row>
    <row r="532" spans="10:11" x14ac:dyDescent="0.2">
      <c r="J532" s="6">
        <v>430</v>
      </c>
      <c r="K532" s="6">
        <v>-436761.60210724513</v>
      </c>
    </row>
    <row r="533" spans="10:11" x14ac:dyDescent="0.2">
      <c r="J533" s="6">
        <v>431</v>
      </c>
      <c r="K533" s="6">
        <v>-451670.37615156657</v>
      </c>
    </row>
    <row r="534" spans="10:11" x14ac:dyDescent="0.2">
      <c r="J534" s="6">
        <v>432</v>
      </c>
      <c r="K534" s="6">
        <v>-456918.6880512546</v>
      </c>
    </row>
    <row r="535" spans="10:11" x14ac:dyDescent="0.2">
      <c r="J535" s="6">
        <v>433</v>
      </c>
      <c r="K535" s="6">
        <v>-442549.21868542803</v>
      </c>
    </row>
    <row r="536" spans="10:11" x14ac:dyDescent="0.2">
      <c r="J536" s="6">
        <v>434</v>
      </c>
      <c r="K536" s="6">
        <v>-419481.97393176419</v>
      </c>
    </row>
    <row r="537" spans="10:11" x14ac:dyDescent="0.2">
      <c r="J537" s="6">
        <v>435</v>
      </c>
      <c r="K537" s="6">
        <v>-420466.10622642323</v>
      </c>
    </row>
    <row r="538" spans="10:11" x14ac:dyDescent="0.2">
      <c r="J538" s="6">
        <v>436</v>
      </c>
      <c r="K538" s="6">
        <v>-391987.55512926786</v>
      </c>
    </row>
    <row r="539" spans="10:11" x14ac:dyDescent="0.2">
      <c r="J539" s="6">
        <v>437</v>
      </c>
      <c r="K539" s="6">
        <v>-411689.30591682077</v>
      </c>
    </row>
    <row r="540" spans="10:11" x14ac:dyDescent="0.2">
      <c r="J540" s="6">
        <v>438</v>
      </c>
      <c r="K540" s="6">
        <v>-452704.86744283489</v>
      </c>
    </row>
    <row r="541" spans="10:11" x14ac:dyDescent="0.2">
      <c r="J541" s="6">
        <v>439</v>
      </c>
      <c r="K541" s="6">
        <v>-441793.6060778019</v>
      </c>
    </row>
    <row r="542" spans="10:11" x14ac:dyDescent="0.2">
      <c r="J542" s="6">
        <v>440</v>
      </c>
      <c r="K542" s="6">
        <v>-458295.03164491185</v>
      </c>
    </row>
    <row r="543" spans="10:11" x14ac:dyDescent="0.2">
      <c r="J543" s="6">
        <v>441</v>
      </c>
      <c r="K543" s="6">
        <v>-460685.89646935661</v>
      </c>
    </row>
    <row r="544" spans="10:11" x14ac:dyDescent="0.2">
      <c r="J544" s="6">
        <v>442</v>
      </c>
      <c r="K544" s="6">
        <v>-404927.18803476251</v>
      </c>
    </row>
    <row r="545" spans="10:11" x14ac:dyDescent="0.2">
      <c r="J545" s="6">
        <v>443</v>
      </c>
      <c r="K545" s="6">
        <v>-428275.8338111068</v>
      </c>
    </row>
    <row r="546" spans="10:11" x14ac:dyDescent="0.2">
      <c r="J546" s="6">
        <v>444</v>
      </c>
      <c r="K546" s="6">
        <v>-440826.34680851217</v>
      </c>
    </row>
    <row r="547" spans="10:11" x14ac:dyDescent="0.2">
      <c r="J547" s="6">
        <v>445</v>
      </c>
      <c r="K547" s="6">
        <v>-417629.83880519937</v>
      </c>
    </row>
    <row r="548" spans="10:11" x14ac:dyDescent="0.2">
      <c r="J548" s="6">
        <v>446</v>
      </c>
      <c r="K548" s="6">
        <v>-477603.40353415266</v>
      </c>
    </row>
    <row r="549" spans="10:11" x14ac:dyDescent="0.2">
      <c r="J549" s="6">
        <v>447</v>
      </c>
      <c r="K549" s="6">
        <v>-482522.36102082679</v>
      </c>
    </row>
    <row r="550" spans="10:11" x14ac:dyDescent="0.2">
      <c r="J550" s="6">
        <v>448</v>
      </c>
      <c r="K550" s="6">
        <v>-499046.95472144929</v>
      </c>
    </row>
    <row r="551" spans="10:11" x14ac:dyDescent="0.2">
      <c r="J551" s="6">
        <v>449</v>
      </c>
      <c r="K551" s="6">
        <v>-449346.77211703261</v>
      </c>
    </row>
    <row r="552" spans="10:11" x14ac:dyDescent="0.2">
      <c r="J552" s="6">
        <v>450</v>
      </c>
      <c r="K552" s="6">
        <v>-424067.36713898584</v>
      </c>
    </row>
    <row r="553" spans="10:11" x14ac:dyDescent="0.2">
      <c r="J553" s="6">
        <v>451</v>
      </c>
      <c r="K553" s="6">
        <v>-423013.79567867634</v>
      </c>
    </row>
    <row r="554" spans="10:11" x14ac:dyDescent="0.2">
      <c r="J554" s="6">
        <v>452</v>
      </c>
      <c r="K554" s="6">
        <v>-439776.27844572364</v>
      </c>
    </row>
    <row r="555" spans="10:11" x14ac:dyDescent="0.2">
      <c r="J555" s="6">
        <v>453</v>
      </c>
      <c r="K555" s="6">
        <v>-476279.08018294105</v>
      </c>
    </row>
    <row r="556" spans="10:11" x14ac:dyDescent="0.2">
      <c r="J556" s="6">
        <v>454</v>
      </c>
      <c r="K556" s="6">
        <v>-486678.55280569755</v>
      </c>
    </row>
    <row r="557" spans="10:11" x14ac:dyDescent="0.2">
      <c r="J557" s="6">
        <v>455</v>
      </c>
      <c r="K557" s="6">
        <v>-463942.98767026409</v>
      </c>
    </row>
    <row r="558" spans="10:11" x14ac:dyDescent="0.2">
      <c r="J558" s="6">
        <v>456</v>
      </c>
      <c r="K558" s="6">
        <v>-452058.27909685508</v>
      </c>
    </row>
    <row r="559" spans="10:11" x14ac:dyDescent="0.2">
      <c r="J559" s="6">
        <v>457</v>
      </c>
      <c r="K559" s="6">
        <v>-434956.8392447448</v>
      </c>
    </row>
    <row r="560" spans="10:11" x14ac:dyDescent="0.2">
      <c r="J560" s="6">
        <v>458</v>
      </c>
      <c r="K560" s="6">
        <v>-461170.16797883296</v>
      </c>
    </row>
    <row r="561" spans="10:11" x14ac:dyDescent="0.2">
      <c r="J561" s="6">
        <v>459</v>
      </c>
      <c r="K561" s="6">
        <v>-416968.63299740292</v>
      </c>
    </row>
    <row r="562" spans="10:11" x14ac:dyDescent="0.2">
      <c r="J562" s="6">
        <v>460</v>
      </c>
      <c r="K562" s="6">
        <v>-473091.02126591746</v>
      </c>
    </row>
    <row r="563" spans="10:11" x14ac:dyDescent="0.2">
      <c r="J563" s="6">
        <v>461</v>
      </c>
      <c r="K563" s="6">
        <v>-449528.49954863841</v>
      </c>
    </row>
    <row r="564" spans="10:11" x14ac:dyDescent="0.2">
      <c r="J564" s="6">
        <v>462</v>
      </c>
      <c r="K564" s="6">
        <v>-416344.59033239941</v>
      </c>
    </row>
    <row r="565" spans="10:11" x14ac:dyDescent="0.2">
      <c r="J565" s="6">
        <v>463</v>
      </c>
      <c r="K565" s="6">
        <v>-445744.56759018981</v>
      </c>
    </row>
    <row r="566" spans="10:11" x14ac:dyDescent="0.2">
      <c r="J566" s="6">
        <v>464</v>
      </c>
      <c r="K566" s="6">
        <v>-439536.27664867078</v>
      </c>
    </row>
    <row r="567" spans="10:11" x14ac:dyDescent="0.2">
      <c r="J567" s="6">
        <v>465</v>
      </c>
      <c r="K567" s="6">
        <v>-415912.32767368166</v>
      </c>
    </row>
    <row r="568" spans="10:11" x14ac:dyDescent="0.2">
      <c r="J568" s="6">
        <v>466</v>
      </c>
      <c r="K568" s="6">
        <v>-438627.67374570563</v>
      </c>
    </row>
    <row r="569" spans="10:11" x14ac:dyDescent="0.2">
      <c r="J569" s="6">
        <v>467</v>
      </c>
      <c r="K569" s="6">
        <v>-453690.7234028895</v>
      </c>
    </row>
    <row r="570" spans="10:11" x14ac:dyDescent="0.2">
      <c r="J570" s="6">
        <v>468</v>
      </c>
      <c r="K570" s="6">
        <v>-489631.0976360307</v>
      </c>
    </row>
    <row r="571" spans="10:11" x14ac:dyDescent="0.2">
      <c r="J571" s="6">
        <v>469</v>
      </c>
      <c r="K571" s="6">
        <v>-405330.17818176886</v>
      </c>
    </row>
    <row r="572" spans="10:11" x14ac:dyDescent="0.2">
      <c r="J572" s="6">
        <v>470</v>
      </c>
      <c r="K572" s="6">
        <v>-420890.59345614479</v>
      </c>
    </row>
    <row r="573" spans="10:11" x14ac:dyDescent="0.2">
      <c r="J573" s="6">
        <v>471</v>
      </c>
      <c r="K573" s="6">
        <v>-432381.06071859354</v>
      </c>
    </row>
    <row r="574" spans="10:11" x14ac:dyDescent="0.2">
      <c r="J574" s="6">
        <v>472</v>
      </c>
      <c r="K574" s="6">
        <v>-468775.57886966004</v>
      </c>
    </row>
    <row r="575" spans="10:11" x14ac:dyDescent="0.2">
      <c r="J575" s="6">
        <v>473</v>
      </c>
      <c r="K575" s="6">
        <v>-450053.80171609041</v>
      </c>
    </row>
    <row r="576" spans="10:11" x14ac:dyDescent="0.2">
      <c r="J576" s="6">
        <v>474</v>
      </c>
      <c r="K576" s="6">
        <v>-405950.88167800079</v>
      </c>
    </row>
    <row r="577" spans="10:11" x14ac:dyDescent="0.2">
      <c r="J577" s="6">
        <v>475</v>
      </c>
      <c r="K577" s="6">
        <v>-433693.99449439422</v>
      </c>
    </row>
    <row r="578" spans="10:11" x14ac:dyDescent="0.2">
      <c r="J578" s="6">
        <v>476</v>
      </c>
      <c r="K578" s="6">
        <v>-474136.74684672977</v>
      </c>
    </row>
    <row r="579" spans="10:11" x14ac:dyDescent="0.2">
      <c r="J579" s="6">
        <v>477</v>
      </c>
      <c r="K579" s="6">
        <v>-486714.06516600522</v>
      </c>
    </row>
    <row r="580" spans="10:11" x14ac:dyDescent="0.2">
      <c r="J580" s="6">
        <v>478</v>
      </c>
      <c r="K580" s="6">
        <v>-455616.32433874952</v>
      </c>
    </row>
    <row r="581" spans="10:11" x14ac:dyDescent="0.2">
      <c r="J581" s="6">
        <v>479</v>
      </c>
      <c r="K581" s="6">
        <v>-452613.19426545379</v>
      </c>
    </row>
    <row r="582" spans="10:11" x14ac:dyDescent="0.2">
      <c r="J582" s="6">
        <v>480</v>
      </c>
      <c r="K582" s="6">
        <v>-409109.41918339313</v>
      </c>
    </row>
    <row r="583" spans="10:11" x14ac:dyDescent="0.2">
      <c r="J583" s="6">
        <v>481</v>
      </c>
      <c r="K583" s="6">
        <v>-472707.95865758916</v>
      </c>
    </row>
    <row r="584" spans="10:11" x14ac:dyDescent="0.2">
      <c r="J584" s="6">
        <v>482</v>
      </c>
      <c r="K584" s="6">
        <v>-430753.25566773093</v>
      </c>
    </row>
    <row r="585" spans="10:11" x14ac:dyDescent="0.2">
      <c r="J585" s="6">
        <v>483</v>
      </c>
      <c r="K585" s="6">
        <v>-426951.25481264986</v>
      </c>
    </row>
    <row r="586" spans="10:11" x14ac:dyDescent="0.2">
      <c r="J586" s="6">
        <v>484</v>
      </c>
      <c r="K586" s="6">
        <v>-456097.0644539179</v>
      </c>
    </row>
    <row r="587" spans="10:11" x14ac:dyDescent="0.2">
      <c r="J587" s="6">
        <v>485</v>
      </c>
      <c r="K587" s="6">
        <v>-479026.1074952124</v>
      </c>
    </row>
    <row r="588" spans="10:11" x14ac:dyDescent="0.2">
      <c r="J588" s="6">
        <v>486</v>
      </c>
      <c r="K588" s="6">
        <v>-447386.93768186728</v>
      </c>
    </row>
    <row r="589" spans="10:11" x14ac:dyDescent="0.2">
      <c r="J589" s="6">
        <v>487</v>
      </c>
      <c r="K589" s="6">
        <v>-479218.66264445271</v>
      </c>
    </row>
    <row r="590" spans="10:11" x14ac:dyDescent="0.2">
      <c r="J590" s="6">
        <v>488</v>
      </c>
      <c r="K590" s="6">
        <v>-432287.5811480172</v>
      </c>
    </row>
    <row r="591" spans="10:11" x14ac:dyDescent="0.2">
      <c r="J591" s="6">
        <v>489</v>
      </c>
      <c r="K591" s="6">
        <v>-465456.27950518858</v>
      </c>
    </row>
    <row r="592" spans="10:11" x14ac:dyDescent="0.2">
      <c r="J592" s="6">
        <v>490</v>
      </c>
      <c r="K592" s="6">
        <v>-458744.25423024438</v>
      </c>
    </row>
    <row r="593" spans="10:11" x14ac:dyDescent="0.2">
      <c r="J593" s="6">
        <v>491</v>
      </c>
      <c r="K593" s="6">
        <v>-427804.32835622574</v>
      </c>
    </row>
    <row r="594" spans="10:11" x14ac:dyDescent="0.2">
      <c r="J594" s="6">
        <v>492</v>
      </c>
      <c r="K594" s="6">
        <v>-490595.2126823726</v>
      </c>
    </row>
    <row r="595" spans="10:11" x14ac:dyDescent="0.2">
      <c r="J595" s="6">
        <v>493</v>
      </c>
      <c r="K595" s="6">
        <v>-473107.97528716875</v>
      </c>
    </row>
    <row r="596" spans="10:11" x14ac:dyDescent="0.2">
      <c r="J596" s="6">
        <v>494</v>
      </c>
      <c r="K596" s="6">
        <v>-451122.53638707008</v>
      </c>
    </row>
    <row r="597" spans="10:11" x14ac:dyDescent="0.2">
      <c r="J597" s="6">
        <v>495</v>
      </c>
      <c r="K597" s="6">
        <v>-424107.45605299214</v>
      </c>
    </row>
    <row r="598" spans="10:11" x14ac:dyDescent="0.2">
      <c r="J598" s="6">
        <v>496</v>
      </c>
      <c r="K598" s="6">
        <v>-445304.34010160534</v>
      </c>
    </row>
    <row r="599" spans="10:11" x14ac:dyDescent="0.2">
      <c r="J599" s="6">
        <v>497</v>
      </c>
      <c r="K599" s="6">
        <v>-453313.09376468352</v>
      </c>
    </row>
    <row r="600" spans="10:11" x14ac:dyDescent="0.2">
      <c r="J600" s="6">
        <v>498</v>
      </c>
      <c r="K600" s="6">
        <v>-429685.85030443344</v>
      </c>
    </row>
    <row r="601" spans="10:11" x14ac:dyDescent="0.2">
      <c r="J601" s="6">
        <v>499</v>
      </c>
      <c r="K601" s="6">
        <v>-433087.33999247412</v>
      </c>
    </row>
    <row r="602" spans="10:11" x14ac:dyDescent="0.2">
      <c r="J602" s="6">
        <v>500</v>
      </c>
      <c r="K602" s="6">
        <v>-455286.30318598519</v>
      </c>
    </row>
    <row r="603" spans="10:11" x14ac:dyDescent="0.2">
      <c r="J603" s="6">
        <v>501</v>
      </c>
      <c r="K603" s="6">
        <v>-423815.05642411194</v>
      </c>
    </row>
    <row r="604" spans="10:11" x14ac:dyDescent="0.2">
      <c r="J604" s="6">
        <v>502</v>
      </c>
      <c r="K604" s="6">
        <v>-413037.55096627132</v>
      </c>
    </row>
    <row r="605" spans="10:11" x14ac:dyDescent="0.2">
      <c r="J605" s="6">
        <v>503</v>
      </c>
      <c r="K605" s="6">
        <v>-427404.85547350167</v>
      </c>
    </row>
    <row r="606" spans="10:11" x14ac:dyDescent="0.2">
      <c r="J606" s="6">
        <v>504</v>
      </c>
      <c r="K606" s="6">
        <v>-428663.8034543547</v>
      </c>
    </row>
    <row r="607" spans="10:11" x14ac:dyDescent="0.2">
      <c r="J607" s="6">
        <v>505</v>
      </c>
      <c r="K607" s="6">
        <v>-446983.608020838</v>
      </c>
    </row>
    <row r="608" spans="10:11" x14ac:dyDescent="0.2">
      <c r="J608" s="6">
        <v>506</v>
      </c>
      <c r="K608" s="6">
        <v>-432147.11942580185</v>
      </c>
    </row>
    <row r="609" spans="10:11" x14ac:dyDescent="0.2">
      <c r="J609" s="6">
        <v>507</v>
      </c>
      <c r="K609" s="6">
        <v>-425644.67536860611</v>
      </c>
    </row>
    <row r="610" spans="10:11" x14ac:dyDescent="0.2">
      <c r="J610" s="6">
        <v>508</v>
      </c>
      <c r="K610" s="6">
        <v>-448620.68058388017</v>
      </c>
    </row>
    <row r="611" spans="10:11" x14ac:dyDescent="0.2">
      <c r="J611" s="6">
        <v>509</v>
      </c>
      <c r="K611" s="6">
        <v>-448175.53823262505</v>
      </c>
    </row>
    <row r="612" spans="10:11" x14ac:dyDescent="0.2">
      <c r="J612" s="6">
        <v>510</v>
      </c>
      <c r="K612" s="6">
        <v>-427394.12114449817</v>
      </c>
    </row>
    <row r="613" spans="10:11" x14ac:dyDescent="0.2">
      <c r="J613" s="6">
        <v>511</v>
      </c>
      <c r="K613" s="6">
        <v>-444352.17873228359</v>
      </c>
    </row>
    <row r="614" spans="10:11" x14ac:dyDescent="0.2">
      <c r="J614" s="6">
        <v>512</v>
      </c>
      <c r="K614" s="6">
        <v>-452889.70811928058</v>
      </c>
    </row>
    <row r="615" spans="10:11" x14ac:dyDescent="0.2">
      <c r="J615" s="6">
        <v>513</v>
      </c>
      <c r="K615" s="6">
        <v>-412795.06879760779</v>
      </c>
    </row>
    <row r="616" spans="10:11" x14ac:dyDescent="0.2">
      <c r="J616" s="6">
        <v>514</v>
      </c>
      <c r="K616" s="6">
        <v>-465106.39542498597</v>
      </c>
    </row>
    <row r="617" spans="10:11" x14ac:dyDescent="0.2">
      <c r="J617" s="6">
        <v>515</v>
      </c>
      <c r="K617" s="6">
        <v>-409046.4979451542</v>
      </c>
    </row>
    <row r="618" spans="10:11" x14ac:dyDescent="0.2">
      <c r="J618" s="6">
        <v>516</v>
      </c>
      <c r="K618" s="6">
        <v>-464439.34652930376</v>
      </c>
    </row>
    <row r="619" spans="10:11" x14ac:dyDescent="0.2">
      <c r="J619" s="6">
        <v>517</v>
      </c>
      <c r="K619" s="6">
        <v>-485932.60348452622</v>
      </c>
    </row>
    <row r="620" spans="10:11" x14ac:dyDescent="0.2">
      <c r="J620" s="6">
        <v>518</v>
      </c>
      <c r="K620" s="6">
        <v>-454220.43896242813</v>
      </c>
    </row>
    <row r="621" spans="10:11" x14ac:dyDescent="0.2">
      <c r="J621" s="6">
        <v>519</v>
      </c>
      <c r="K621" s="6">
        <v>-392759.35028799588</v>
      </c>
    </row>
    <row r="622" spans="10:11" x14ac:dyDescent="0.2">
      <c r="J622" s="6">
        <v>520</v>
      </c>
      <c r="K622" s="6">
        <v>-427798.12669373851</v>
      </c>
    </row>
    <row r="623" spans="10:11" x14ac:dyDescent="0.2">
      <c r="J623" s="6">
        <v>521</v>
      </c>
      <c r="K623" s="6">
        <v>-428682.22510647785</v>
      </c>
    </row>
    <row r="624" spans="10:11" x14ac:dyDescent="0.2">
      <c r="J624" s="6">
        <v>522</v>
      </c>
      <c r="K624" s="6">
        <v>-458474.12756356056</v>
      </c>
    </row>
    <row r="625" spans="10:11" x14ac:dyDescent="0.2">
      <c r="J625" s="6">
        <v>523</v>
      </c>
      <c r="K625" s="6">
        <v>-417951.11420837854</v>
      </c>
    </row>
    <row r="626" spans="10:11" x14ac:dyDescent="0.2">
      <c r="J626" s="6">
        <v>524</v>
      </c>
      <c r="K626" s="6">
        <v>-462416.82641017431</v>
      </c>
    </row>
    <row r="627" spans="10:11" x14ac:dyDescent="0.2">
      <c r="J627" s="6">
        <v>525</v>
      </c>
      <c r="K627" s="6">
        <v>-389940.01896718499</v>
      </c>
    </row>
    <row r="628" spans="10:11" x14ac:dyDescent="0.2">
      <c r="J628" s="6">
        <v>526</v>
      </c>
      <c r="K628" s="6">
        <v>-422596.56668419245</v>
      </c>
    </row>
    <row r="629" spans="10:11" x14ac:dyDescent="0.2">
      <c r="J629" s="6">
        <v>527</v>
      </c>
      <c r="K629" s="6">
        <v>-455780.45891439723</v>
      </c>
    </row>
    <row r="630" spans="10:11" x14ac:dyDescent="0.2">
      <c r="J630" s="6">
        <v>528</v>
      </c>
      <c r="K630" s="6">
        <v>-425588.57761046529</v>
      </c>
    </row>
    <row r="631" spans="10:11" x14ac:dyDescent="0.2">
      <c r="J631" s="6">
        <v>529</v>
      </c>
      <c r="K631" s="6">
        <v>-444424.96645491594</v>
      </c>
    </row>
    <row r="632" spans="10:11" x14ac:dyDescent="0.2">
      <c r="J632" s="6">
        <v>530</v>
      </c>
      <c r="K632" s="6">
        <v>-456689.92588466039</v>
      </c>
    </row>
    <row r="633" spans="10:11" x14ac:dyDescent="0.2">
      <c r="J633" s="6">
        <v>531</v>
      </c>
      <c r="K633" s="6">
        <v>-424969.09831353783</v>
      </c>
    </row>
    <row r="634" spans="10:11" x14ac:dyDescent="0.2">
      <c r="J634" s="6">
        <v>532</v>
      </c>
      <c r="K634" s="6">
        <v>-445577.64135571528</v>
      </c>
    </row>
    <row r="635" spans="10:11" x14ac:dyDescent="0.2">
      <c r="J635" s="6">
        <v>533</v>
      </c>
      <c r="K635" s="6">
        <v>-458391.3283167443</v>
      </c>
    </row>
    <row r="636" spans="10:11" x14ac:dyDescent="0.2">
      <c r="J636" s="6">
        <v>534</v>
      </c>
      <c r="K636" s="6">
        <v>-447338.85203275998</v>
      </c>
    </row>
    <row r="637" spans="10:11" x14ac:dyDescent="0.2">
      <c r="J637" s="6">
        <v>535</v>
      </c>
      <c r="K637" s="6">
        <v>-449874.20690027031</v>
      </c>
    </row>
    <row r="638" spans="10:11" x14ac:dyDescent="0.2">
      <c r="J638" s="6">
        <v>536</v>
      </c>
      <c r="K638" s="6">
        <v>-455341.42486710794</v>
      </c>
    </row>
    <row r="639" spans="10:11" x14ac:dyDescent="0.2">
      <c r="J639" s="6">
        <v>537</v>
      </c>
      <c r="K639" s="6">
        <v>-443904.92259179649</v>
      </c>
    </row>
    <row r="640" spans="10:11" x14ac:dyDescent="0.2">
      <c r="J640" s="6">
        <v>538</v>
      </c>
      <c r="K640" s="6">
        <v>-462292.3978622267</v>
      </c>
    </row>
    <row r="641" spans="10:11" x14ac:dyDescent="0.2">
      <c r="J641" s="6">
        <v>539</v>
      </c>
      <c r="K641" s="6">
        <v>-438970.03700836527</v>
      </c>
    </row>
    <row r="642" spans="10:11" x14ac:dyDescent="0.2">
      <c r="J642" s="6">
        <v>540</v>
      </c>
      <c r="K642" s="6">
        <v>-433489.6008419632</v>
      </c>
    </row>
    <row r="643" spans="10:11" x14ac:dyDescent="0.2">
      <c r="J643" s="6">
        <v>541</v>
      </c>
      <c r="K643" s="6">
        <v>-458418.24453490321</v>
      </c>
    </row>
    <row r="644" spans="10:11" x14ac:dyDescent="0.2">
      <c r="J644" s="6">
        <v>542</v>
      </c>
      <c r="K644" s="6">
        <v>-466233.29768364434</v>
      </c>
    </row>
    <row r="645" spans="10:11" x14ac:dyDescent="0.2">
      <c r="J645" s="6">
        <v>543</v>
      </c>
      <c r="K645" s="6">
        <v>-445217.574056332</v>
      </c>
    </row>
    <row r="646" spans="10:11" x14ac:dyDescent="0.2">
      <c r="J646" s="6">
        <v>544</v>
      </c>
      <c r="K646" s="6">
        <v>-448819.36381155468</v>
      </c>
    </row>
    <row r="647" spans="10:11" x14ac:dyDescent="0.2">
      <c r="J647" s="6">
        <v>545</v>
      </c>
      <c r="K647" s="6">
        <v>-411948.03603258042</v>
      </c>
    </row>
    <row r="648" spans="10:11" x14ac:dyDescent="0.2">
      <c r="J648" s="6">
        <v>546</v>
      </c>
      <c r="K648" s="6">
        <v>-447504.83665427123</v>
      </c>
    </row>
    <row r="649" spans="10:11" x14ac:dyDescent="0.2">
      <c r="J649" s="6">
        <v>547</v>
      </c>
      <c r="K649" s="6">
        <v>-436874.3728427437</v>
      </c>
    </row>
    <row r="650" spans="10:11" x14ac:dyDescent="0.2">
      <c r="J650" s="6">
        <v>548</v>
      </c>
      <c r="K650" s="6">
        <v>-445988.47644009249</v>
      </c>
    </row>
    <row r="651" spans="10:11" x14ac:dyDescent="0.2">
      <c r="J651" s="6">
        <v>549</v>
      </c>
      <c r="K651" s="6">
        <v>-420705.4948253372</v>
      </c>
    </row>
    <row r="652" spans="10:11" x14ac:dyDescent="0.2">
      <c r="J652" s="6">
        <v>550</v>
      </c>
      <c r="K652" s="6">
        <v>-413164.96991987631</v>
      </c>
    </row>
    <row r="653" spans="10:11" x14ac:dyDescent="0.2">
      <c r="J653" s="6">
        <v>551</v>
      </c>
      <c r="K653" s="6">
        <v>-426099.53654679982</v>
      </c>
    </row>
    <row r="654" spans="10:11" x14ac:dyDescent="0.2">
      <c r="J654" s="6">
        <v>552</v>
      </c>
      <c r="K654" s="6">
        <v>-403781.08919495629</v>
      </c>
    </row>
    <row r="655" spans="10:11" x14ac:dyDescent="0.2">
      <c r="J655" s="6">
        <v>553</v>
      </c>
      <c r="K655" s="6">
        <v>-429218.42936808162</v>
      </c>
    </row>
    <row r="656" spans="10:11" x14ac:dyDescent="0.2">
      <c r="J656" s="6">
        <v>554</v>
      </c>
      <c r="K656" s="6">
        <v>-459528.40198661538</v>
      </c>
    </row>
    <row r="657" spans="10:11" x14ac:dyDescent="0.2">
      <c r="J657" s="6">
        <v>555</v>
      </c>
      <c r="K657" s="6">
        <v>-459148.66640108137</v>
      </c>
    </row>
    <row r="658" spans="10:11" x14ac:dyDescent="0.2">
      <c r="J658" s="6">
        <v>556</v>
      </c>
      <c r="K658" s="6">
        <v>-464921.36373478954</v>
      </c>
    </row>
    <row r="659" spans="10:11" x14ac:dyDescent="0.2">
      <c r="J659" s="6">
        <v>557</v>
      </c>
      <c r="K659" s="6">
        <v>-445173.74534040323</v>
      </c>
    </row>
    <row r="660" spans="10:11" x14ac:dyDescent="0.2">
      <c r="J660" s="6">
        <v>558</v>
      </c>
      <c r="K660" s="6">
        <v>-464451.28823287052</v>
      </c>
    </row>
    <row r="661" spans="10:11" x14ac:dyDescent="0.2">
      <c r="J661" s="6">
        <v>559</v>
      </c>
      <c r="K661" s="6">
        <v>-441887.45094275044</v>
      </c>
    </row>
    <row r="662" spans="10:11" x14ac:dyDescent="0.2">
      <c r="J662" s="6">
        <v>560</v>
      </c>
      <c r="K662" s="6">
        <v>-450009.53082223801</v>
      </c>
    </row>
    <row r="663" spans="10:11" x14ac:dyDescent="0.2">
      <c r="J663" s="6">
        <v>561</v>
      </c>
      <c r="K663" s="6">
        <v>-487452.95161449286</v>
      </c>
    </row>
    <row r="664" spans="10:11" x14ac:dyDescent="0.2">
      <c r="J664" s="6">
        <v>562</v>
      </c>
      <c r="K664" s="6">
        <v>-451725.27477107715</v>
      </c>
    </row>
    <row r="665" spans="10:11" x14ac:dyDescent="0.2">
      <c r="J665" s="6">
        <v>563</v>
      </c>
      <c r="K665" s="6">
        <v>-464158.72563816607</v>
      </c>
    </row>
    <row r="666" spans="10:11" x14ac:dyDescent="0.2">
      <c r="J666" s="6">
        <v>564</v>
      </c>
      <c r="K666" s="6">
        <v>-421125.89876233344</v>
      </c>
    </row>
    <row r="667" spans="10:11" x14ac:dyDescent="0.2">
      <c r="J667" s="6">
        <v>565</v>
      </c>
      <c r="K667" s="6">
        <v>-419249.44286594889</v>
      </c>
    </row>
    <row r="668" spans="10:11" x14ac:dyDescent="0.2">
      <c r="J668" s="6">
        <v>566</v>
      </c>
      <c r="K668" s="6">
        <v>-432951.04493461794</v>
      </c>
    </row>
    <row r="669" spans="10:11" x14ac:dyDescent="0.2">
      <c r="J669" s="6">
        <v>567</v>
      </c>
      <c r="K669" s="6">
        <v>-476989.14284188166</v>
      </c>
    </row>
    <row r="670" spans="10:11" x14ac:dyDescent="0.2">
      <c r="J670" s="6">
        <v>568</v>
      </c>
      <c r="K670" s="6">
        <v>-453126.20759947802</v>
      </c>
    </row>
    <row r="671" spans="10:11" x14ac:dyDescent="0.2">
      <c r="J671" s="6">
        <v>569</v>
      </c>
      <c r="K671" s="6">
        <v>-424180.86522076122</v>
      </c>
    </row>
    <row r="672" spans="10:11" x14ac:dyDescent="0.2">
      <c r="J672" s="6">
        <v>570</v>
      </c>
      <c r="K672" s="6">
        <v>-440929.46494413487</v>
      </c>
    </row>
    <row r="673" spans="10:11" x14ac:dyDescent="0.2">
      <c r="J673" s="6">
        <v>571</v>
      </c>
      <c r="K673" s="6">
        <v>-461858.19408889418</v>
      </c>
    </row>
    <row r="674" spans="10:11" x14ac:dyDescent="0.2">
      <c r="J674" s="6">
        <v>572</v>
      </c>
      <c r="K674" s="6">
        <v>-455621.04972269828</v>
      </c>
    </row>
    <row r="675" spans="10:11" x14ac:dyDescent="0.2">
      <c r="J675" s="6">
        <v>573</v>
      </c>
      <c r="K675" s="6">
        <v>-466090.30057058157</v>
      </c>
    </row>
    <row r="676" spans="10:11" x14ac:dyDescent="0.2">
      <c r="J676" s="6">
        <v>574</v>
      </c>
      <c r="K676" s="6">
        <v>-468818.79077647877</v>
      </c>
    </row>
    <row r="677" spans="10:11" x14ac:dyDescent="0.2">
      <c r="J677" s="6">
        <v>575</v>
      </c>
      <c r="K677" s="6">
        <v>-434775.25799529336</v>
      </c>
    </row>
    <row r="678" spans="10:11" x14ac:dyDescent="0.2">
      <c r="J678" s="6">
        <v>576</v>
      </c>
      <c r="K678" s="6">
        <v>-467267.70898059802</v>
      </c>
    </row>
    <row r="679" spans="10:11" x14ac:dyDescent="0.2">
      <c r="J679" s="6">
        <v>577</v>
      </c>
      <c r="K679" s="6">
        <v>-421010.75398378988</v>
      </c>
    </row>
    <row r="680" spans="10:11" x14ac:dyDescent="0.2">
      <c r="J680" s="6">
        <v>578</v>
      </c>
      <c r="K680" s="6">
        <v>-468980.82290141139</v>
      </c>
    </row>
    <row r="681" spans="10:11" x14ac:dyDescent="0.2">
      <c r="J681" s="6">
        <v>579</v>
      </c>
      <c r="K681" s="6">
        <v>-439091.90422157326</v>
      </c>
    </row>
    <row r="682" spans="10:11" x14ac:dyDescent="0.2">
      <c r="J682" s="6">
        <v>580</v>
      </c>
      <c r="K682" s="6">
        <v>-444137.65961849299</v>
      </c>
    </row>
    <row r="683" spans="10:11" x14ac:dyDescent="0.2">
      <c r="J683" s="6">
        <v>581</v>
      </c>
      <c r="K683" s="6">
        <v>-449948.15006481379</v>
      </c>
    </row>
    <row r="684" spans="10:11" x14ac:dyDescent="0.2">
      <c r="J684" s="6">
        <v>582</v>
      </c>
      <c r="K684" s="6">
        <v>-476461.15360263002</v>
      </c>
    </row>
    <row r="685" spans="10:11" x14ac:dyDescent="0.2">
      <c r="J685" s="6">
        <v>583</v>
      </c>
      <c r="K685" s="6">
        <v>-446371.74361450778</v>
      </c>
    </row>
    <row r="686" spans="10:11" x14ac:dyDescent="0.2">
      <c r="J686" s="6">
        <v>584</v>
      </c>
      <c r="K686" s="6">
        <v>-408098.62762188172</v>
      </c>
    </row>
    <row r="687" spans="10:11" x14ac:dyDescent="0.2">
      <c r="J687" s="6">
        <v>585</v>
      </c>
      <c r="K687" s="6">
        <v>-444672.17130107246</v>
      </c>
    </row>
    <row r="688" spans="10:11" x14ac:dyDescent="0.2">
      <c r="J688" s="6">
        <v>586</v>
      </c>
      <c r="K688" s="6">
        <v>-447338.51562971179</v>
      </c>
    </row>
    <row r="689" spans="10:11" x14ac:dyDescent="0.2">
      <c r="J689" s="6">
        <v>587</v>
      </c>
      <c r="K689" s="6">
        <v>-420137.33519008954</v>
      </c>
    </row>
    <row r="690" spans="10:11" x14ac:dyDescent="0.2">
      <c r="J690" s="6">
        <v>588</v>
      </c>
      <c r="K690" s="6">
        <v>-458170.4631619656</v>
      </c>
    </row>
    <row r="691" spans="10:11" x14ac:dyDescent="0.2">
      <c r="J691" s="6">
        <v>589</v>
      </c>
      <c r="K691" s="6">
        <v>-411652.85711308039</v>
      </c>
    </row>
    <row r="692" spans="10:11" x14ac:dyDescent="0.2">
      <c r="J692" s="6">
        <v>590</v>
      </c>
      <c r="K692" s="6">
        <v>-418105.18291237444</v>
      </c>
    </row>
    <row r="693" spans="10:11" x14ac:dyDescent="0.2">
      <c r="J693" s="6">
        <v>591</v>
      </c>
      <c r="K693" s="6">
        <v>-452735.00722163776</v>
      </c>
    </row>
    <row r="694" spans="10:11" x14ac:dyDescent="0.2">
      <c r="J694" s="6">
        <v>592</v>
      </c>
      <c r="K694" s="6">
        <v>-482628.20893044578</v>
      </c>
    </row>
    <row r="695" spans="10:11" x14ac:dyDescent="0.2">
      <c r="J695" s="6">
        <v>593</v>
      </c>
      <c r="K695" s="6">
        <v>-415066.37644581386</v>
      </c>
    </row>
    <row r="696" spans="10:11" x14ac:dyDescent="0.2">
      <c r="J696" s="6">
        <v>594</v>
      </c>
      <c r="K696" s="6">
        <v>-426541.52841417503</v>
      </c>
    </row>
    <row r="697" spans="10:11" x14ac:dyDescent="0.2">
      <c r="J697" s="6">
        <v>595</v>
      </c>
      <c r="K697" s="6">
        <v>-455097.19073394942</v>
      </c>
    </row>
    <row r="698" spans="10:11" x14ac:dyDescent="0.2">
      <c r="J698" s="6">
        <v>596</v>
      </c>
      <c r="K698" s="6">
        <v>-441733.24300194811</v>
      </c>
    </row>
    <row r="699" spans="10:11" x14ac:dyDescent="0.2">
      <c r="J699" s="6">
        <v>597</v>
      </c>
      <c r="K699" s="6">
        <v>-433932.69837511866</v>
      </c>
    </row>
    <row r="700" spans="10:11" x14ac:dyDescent="0.2">
      <c r="J700" s="6">
        <v>598</v>
      </c>
      <c r="K700" s="6">
        <v>-453821.68283107469</v>
      </c>
    </row>
    <row r="701" spans="10:11" x14ac:dyDescent="0.2">
      <c r="J701" s="6">
        <v>599</v>
      </c>
      <c r="K701" s="6">
        <v>-455446.14677013858</v>
      </c>
    </row>
    <row r="702" spans="10:11" x14ac:dyDescent="0.2">
      <c r="J702" s="6">
        <v>600</v>
      </c>
      <c r="K702" s="6">
        <v>-430643.21925637528</v>
      </c>
    </row>
    <row r="703" spans="10:11" x14ac:dyDescent="0.2">
      <c r="J703" s="6">
        <v>601</v>
      </c>
      <c r="K703" s="6">
        <v>-412631.49016584572</v>
      </c>
    </row>
    <row r="704" spans="10:11" x14ac:dyDescent="0.2">
      <c r="J704" s="6">
        <v>602</v>
      </c>
      <c r="K704" s="6">
        <v>-458255.33582490426</v>
      </c>
    </row>
    <row r="705" spans="10:11" x14ac:dyDescent="0.2">
      <c r="J705" s="6">
        <v>603</v>
      </c>
      <c r="K705" s="6">
        <v>-464037.96997777402</v>
      </c>
    </row>
    <row r="706" spans="10:11" x14ac:dyDescent="0.2">
      <c r="J706" s="6">
        <v>604</v>
      </c>
      <c r="K706" s="6">
        <v>-457155.5239806989</v>
      </c>
    </row>
    <row r="707" spans="10:11" x14ac:dyDescent="0.2">
      <c r="J707" s="6">
        <v>605</v>
      </c>
      <c r="K707" s="6">
        <v>-463611.94891494769</v>
      </c>
    </row>
    <row r="708" spans="10:11" x14ac:dyDescent="0.2">
      <c r="J708" s="6">
        <v>606</v>
      </c>
      <c r="K708" s="6">
        <v>-394594.2424612114</v>
      </c>
    </row>
    <row r="709" spans="10:11" x14ac:dyDescent="0.2">
      <c r="J709" s="6">
        <v>607</v>
      </c>
      <c r="K709" s="6">
        <v>-470700.39058418089</v>
      </c>
    </row>
    <row r="710" spans="10:11" x14ac:dyDescent="0.2">
      <c r="J710" s="6">
        <v>608</v>
      </c>
      <c r="K710" s="6">
        <v>-447610.55481502594</v>
      </c>
    </row>
    <row r="711" spans="10:11" x14ac:dyDescent="0.2">
      <c r="J711" s="6">
        <v>609</v>
      </c>
      <c r="K711" s="6">
        <v>-405408.93297655083</v>
      </c>
    </row>
    <row r="712" spans="10:11" x14ac:dyDescent="0.2">
      <c r="J712" s="6">
        <v>610</v>
      </c>
      <c r="K712" s="6">
        <v>-433097.1943834828</v>
      </c>
    </row>
    <row r="713" spans="10:11" x14ac:dyDescent="0.2">
      <c r="J713" s="6">
        <v>611</v>
      </c>
      <c r="K713" s="6">
        <v>-432955.75923515938</v>
      </c>
    </row>
    <row r="714" spans="10:11" x14ac:dyDescent="0.2">
      <c r="J714" s="6">
        <v>612</v>
      </c>
      <c r="K714" s="6">
        <v>-417742.14252599661</v>
      </c>
    </row>
    <row r="715" spans="10:11" x14ac:dyDescent="0.2">
      <c r="J715" s="6">
        <v>613</v>
      </c>
      <c r="K715" s="6">
        <v>-439125.80579581531</v>
      </c>
    </row>
    <row r="716" spans="10:11" x14ac:dyDescent="0.2">
      <c r="J716" s="6">
        <v>614</v>
      </c>
      <c r="K716" s="6">
        <v>-421940.71767215501</v>
      </c>
    </row>
    <row r="717" spans="10:11" x14ac:dyDescent="0.2">
      <c r="J717" s="6">
        <v>615</v>
      </c>
      <c r="K717" s="6">
        <v>-438148.22438623681</v>
      </c>
    </row>
    <row r="718" spans="10:11" x14ac:dyDescent="0.2">
      <c r="J718" s="6">
        <v>616</v>
      </c>
      <c r="K718" s="6">
        <v>-420886.05927766248</v>
      </c>
    </row>
    <row r="719" spans="10:11" x14ac:dyDescent="0.2">
      <c r="J719" s="6">
        <v>617</v>
      </c>
      <c r="K719" s="6">
        <v>-431359.77583420713</v>
      </c>
    </row>
    <row r="720" spans="10:11" x14ac:dyDescent="0.2">
      <c r="J720" s="6">
        <v>618</v>
      </c>
      <c r="K720" s="6">
        <v>-433486.90195114748</v>
      </c>
    </row>
    <row r="721" spans="10:11" x14ac:dyDescent="0.2">
      <c r="J721" s="6">
        <v>619</v>
      </c>
      <c r="K721" s="6">
        <v>-452240.53355489083</v>
      </c>
    </row>
    <row r="722" spans="10:11" x14ac:dyDescent="0.2">
      <c r="J722" s="6">
        <v>620</v>
      </c>
      <c r="K722" s="6">
        <v>-438529.87673105387</v>
      </c>
    </row>
    <row r="723" spans="10:11" x14ac:dyDescent="0.2">
      <c r="J723" s="6">
        <v>621</v>
      </c>
      <c r="K723" s="6">
        <v>-420828.12505961204</v>
      </c>
    </row>
    <row r="724" spans="10:11" x14ac:dyDescent="0.2">
      <c r="J724" s="6">
        <v>622</v>
      </c>
      <c r="K724" s="6">
        <v>-418162.03381714813</v>
      </c>
    </row>
    <row r="725" spans="10:11" x14ac:dyDescent="0.2">
      <c r="J725" s="6">
        <v>623</v>
      </c>
      <c r="K725" s="6">
        <v>-448614.38994186453</v>
      </c>
    </row>
    <row r="726" spans="10:11" x14ac:dyDescent="0.2">
      <c r="J726" s="6">
        <v>624</v>
      </c>
      <c r="K726" s="6">
        <v>-420481.01063738542</v>
      </c>
    </row>
    <row r="727" spans="10:11" x14ac:dyDescent="0.2">
      <c r="J727" s="6">
        <v>625</v>
      </c>
      <c r="K727" s="6">
        <v>-475610.39479743439</v>
      </c>
    </row>
    <row r="728" spans="10:11" x14ac:dyDescent="0.2">
      <c r="J728" s="6">
        <v>626</v>
      </c>
      <c r="K728" s="6">
        <v>-436342.82395736891</v>
      </c>
    </row>
    <row r="729" spans="10:11" x14ac:dyDescent="0.2">
      <c r="J729" s="6">
        <v>627</v>
      </c>
      <c r="K729" s="6">
        <v>-451629.52366847039</v>
      </c>
    </row>
    <row r="730" spans="10:11" x14ac:dyDescent="0.2">
      <c r="J730" s="6">
        <v>628</v>
      </c>
      <c r="K730" s="6">
        <v>-452286.99591204606</v>
      </c>
    </row>
    <row r="731" spans="10:11" x14ac:dyDescent="0.2">
      <c r="J731" s="6">
        <v>629</v>
      </c>
      <c r="K731" s="6">
        <v>-424592.65226438438</v>
      </c>
    </row>
    <row r="732" spans="10:11" x14ac:dyDescent="0.2">
      <c r="J732" s="6">
        <v>630</v>
      </c>
      <c r="K732" s="6">
        <v>-425710.82094042946</v>
      </c>
    </row>
    <row r="733" spans="10:11" x14ac:dyDescent="0.2">
      <c r="J733" s="6">
        <v>631</v>
      </c>
      <c r="K733" s="6">
        <v>-435763.79869782948</v>
      </c>
    </row>
    <row r="734" spans="10:11" x14ac:dyDescent="0.2">
      <c r="J734" s="6">
        <v>632</v>
      </c>
      <c r="K734" s="6">
        <v>-454757.4310590878</v>
      </c>
    </row>
    <row r="735" spans="10:11" x14ac:dyDescent="0.2">
      <c r="J735" s="6">
        <v>633</v>
      </c>
      <c r="K735" s="6">
        <v>-475969.80610970111</v>
      </c>
    </row>
    <row r="736" spans="10:11" x14ac:dyDescent="0.2">
      <c r="J736" s="6">
        <v>634</v>
      </c>
      <c r="K736" s="6">
        <v>-456178.54110190133</v>
      </c>
    </row>
    <row r="737" spans="10:11" x14ac:dyDescent="0.2">
      <c r="J737" s="6">
        <v>635</v>
      </c>
      <c r="K737" s="6">
        <v>-442076.53319436545</v>
      </c>
    </row>
    <row r="738" spans="10:11" x14ac:dyDescent="0.2">
      <c r="J738" s="6">
        <v>636</v>
      </c>
      <c r="K738" s="6">
        <v>-445018.41513431707</v>
      </c>
    </row>
    <row r="739" spans="10:11" x14ac:dyDescent="0.2">
      <c r="J739" s="6">
        <v>637</v>
      </c>
      <c r="K739" s="6">
        <v>-434547.57444389572</v>
      </c>
    </row>
    <row r="740" spans="10:11" x14ac:dyDescent="0.2">
      <c r="J740" s="6">
        <v>638</v>
      </c>
      <c r="K740" s="6">
        <v>-388105.51597106544</v>
      </c>
    </row>
    <row r="741" spans="10:11" x14ac:dyDescent="0.2">
      <c r="J741" s="6">
        <v>639</v>
      </c>
      <c r="K741" s="6">
        <v>-483862.55138883856</v>
      </c>
    </row>
    <row r="742" spans="10:11" x14ac:dyDescent="0.2">
      <c r="J742" s="6">
        <v>640</v>
      </c>
      <c r="K742" s="6">
        <v>-434548.91974426358</v>
      </c>
    </row>
    <row r="743" spans="10:11" x14ac:dyDescent="0.2">
      <c r="J743" s="6">
        <v>641</v>
      </c>
      <c r="K743" s="6">
        <v>-439281.95420407894</v>
      </c>
    </row>
    <row r="744" spans="10:11" x14ac:dyDescent="0.2">
      <c r="J744" s="6">
        <v>642</v>
      </c>
      <c r="K744" s="6">
        <v>-461647.12975335179</v>
      </c>
    </row>
    <row r="745" spans="10:11" x14ac:dyDescent="0.2">
      <c r="J745" s="6">
        <v>643</v>
      </c>
      <c r="K745" s="6">
        <v>-458371.15368060715</v>
      </c>
    </row>
    <row r="746" spans="10:11" x14ac:dyDescent="0.2">
      <c r="J746" s="6">
        <v>644</v>
      </c>
      <c r="K746" s="6">
        <v>-416986.57445018785</v>
      </c>
    </row>
    <row r="747" spans="10:11" x14ac:dyDescent="0.2">
      <c r="J747" s="6">
        <v>645</v>
      </c>
      <c r="K747" s="6">
        <v>-451368.99297432019</v>
      </c>
    </row>
    <row r="748" spans="10:11" x14ac:dyDescent="0.2">
      <c r="J748" s="6">
        <v>646</v>
      </c>
      <c r="K748" s="6">
        <v>-435425.41855766735</v>
      </c>
    </row>
    <row r="749" spans="10:11" x14ac:dyDescent="0.2">
      <c r="J749" s="6">
        <v>647</v>
      </c>
      <c r="K749" s="6">
        <v>-487316.56642418983</v>
      </c>
    </row>
    <row r="750" spans="10:11" x14ac:dyDescent="0.2">
      <c r="J750" s="6">
        <v>648</v>
      </c>
      <c r="K750" s="6">
        <v>-392672.8470108601</v>
      </c>
    </row>
    <row r="751" spans="10:11" x14ac:dyDescent="0.2">
      <c r="J751" s="6">
        <v>649</v>
      </c>
      <c r="K751" s="6">
        <v>-448681.94075986207</v>
      </c>
    </row>
    <row r="752" spans="10:11" x14ac:dyDescent="0.2">
      <c r="J752" s="6">
        <v>650</v>
      </c>
      <c r="K752" s="6">
        <v>-441342.14223336912</v>
      </c>
    </row>
    <row r="753" spans="10:11" x14ac:dyDescent="0.2">
      <c r="J753" s="6">
        <v>651</v>
      </c>
      <c r="K753" s="6">
        <v>-456155.92392624199</v>
      </c>
    </row>
    <row r="754" spans="10:11" x14ac:dyDescent="0.2">
      <c r="J754" s="6">
        <v>652</v>
      </c>
      <c r="K754" s="6">
        <v>-458774.53685432515</v>
      </c>
    </row>
    <row r="755" spans="10:11" x14ac:dyDescent="0.2">
      <c r="J755" s="6">
        <v>653</v>
      </c>
      <c r="K755" s="6">
        <v>-424973.57591887075</v>
      </c>
    </row>
    <row r="756" spans="10:11" x14ac:dyDescent="0.2">
      <c r="J756" s="6">
        <v>654</v>
      </c>
      <c r="K756" s="6">
        <v>-445755.82835349179</v>
      </c>
    </row>
    <row r="757" spans="10:11" x14ac:dyDescent="0.2">
      <c r="J757" s="6">
        <v>655</v>
      </c>
      <c r="K757" s="6">
        <v>-479165.00194647646</v>
      </c>
    </row>
    <row r="758" spans="10:11" x14ac:dyDescent="0.2">
      <c r="J758" s="6">
        <v>656</v>
      </c>
      <c r="K758" s="6">
        <v>-441054.95129532513</v>
      </c>
    </row>
    <row r="759" spans="10:11" x14ac:dyDescent="0.2">
      <c r="J759" s="6">
        <v>657</v>
      </c>
      <c r="K759" s="6">
        <v>-462688.63651397754</v>
      </c>
    </row>
    <row r="760" spans="10:11" x14ac:dyDescent="0.2">
      <c r="J760" s="6">
        <v>658</v>
      </c>
      <c r="K760" s="6">
        <v>-423341.13075768523</v>
      </c>
    </row>
    <row r="761" spans="10:11" x14ac:dyDescent="0.2">
      <c r="J761" s="6">
        <v>659</v>
      </c>
      <c r="K761" s="6">
        <v>-442142.78260871617</v>
      </c>
    </row>
    <row r="762" spans="10:11" x14ac:dyDescent="0.2">
      <c r="J762" s="6">
        <v>660</v>
      </c>
      <c r="K762" s="6">
        <v>-444224.93493119115</v>
      </c>
    </row>
    <row r="763" spans="10:11" x14ac:dyDescent="0.2">
      <c r="J763" s="6">
        <v>661</v>
      </c>
      <c r="K763" s="6">
        <v>-427276.84458951792</v>
      </c>
    </row>
    <row r="764" spans="10:11" x14ac:dyDescent="0.2">
      <c r="J764" s="6">
        <v>662</v>
      </c>
      <c r="K764" s="6">
        <v>-454185.42573660304</v>
      </c>
    </row>
    <row r="765" spans="10:11" x14ac:dyDescent="0.2">
      <c r="J765" s="6">
        <v>663</v>
      </c>
      <c r="K765" s="6">
        <v>-407728.43764505768</v>
      </c>
    </row>
    <row r="766" spans="10:11" x14ac:dyDescent="0.2">
      <c r="J766" s="6">
        <v>664</v>
      </c>
      <c r="K766" s="6">
        <v>-469280.07815967069</v>
      </c>
    </row>
    <row r="767" spans="10:11" x14ac:dyDescent="0.2">
      <c r="J767" s="6">
        <v>665</v>
      </c>
      <c r="K767" s="6">
        <v>-459982.44174123858</v>
      </c>
    </row>
    <row r="768" spans="10:11" x14ac:dyDescent="0.2">
      <c r="J768" s="6">
        <v>666</v>
      </c>
      <c r="K768" s="6">
        <v>-442185.90642767638</v>
      </c>
    </row>
    <row r="769" spans="10:11" x14ac:dyDescent="0.2">
      <c r="J769" s="6">
        <v>667</v>
      </c>
      <c r="K769" s="6">
        <v>-492132.72805504926</v>
      </c>
    </row>
    <row r="770" spans="10:11" x14ac:dyDescent="0.2">
      <c r="J770" s="6">
        <v>668</v>
      </c>
      <c r="K770" s="6">
        <v>-477235.05095533479</v>
      </c>
    </row>
    <row r="771" spans="10:11" x14ac:dyDescent="0.2">
      <c r="J771" s="6">
        <v>669</v>
      </c>
      <c r="K771" s="6">
        <v>-398808.79833527573</v>
      </c>
    </row>
    <row r="772" spans="10:11" x14ac:dyDescent="0.2">
      <c r="J772" s="6">
        <v>670</v>
      </c>
      <c r="K772" s="6">
        <v>-424176.62410624372</v>
      </c>
    </row>
    <row r="773" spans="10:11" x14ac:dyDescent="0.2">
      <c r="J773" s="6">
        <v>671</v>
      </c>
      <c r="K773" s="6">
        <v>-474445.73965649749</v>
      </c>
    </row>
    <row r="774" spans="10:11" x14ac:dyDescent="0.2">
      <c r="J774" s="6">
        <v>672</v>
      </c>
      <c r="K774" s="6">
        <v>-461185.64226140652</v>
      </c>
    </row>
    <row r="775" spans="10:11" x14ac:dyDescent="0.2">
      <c r="J775" s="6">
        <v>673</v>
      </c>
      <c r="K775" s="6">
        <v>-464672.61411592917</v>
      </c>
    </row>
    <row r="776" spans="10:11" x14ac:dyDescent="0.2">
      <c r="J776" s="6">
        <v>674</v>
      </c>
      <c r="K776" s="6">
        <v>-449651.30639225018</v>
      </c>
    </row>
    <row r="777" spans="10:11" x14ac:dyDescent="0.2">
      <c r="J777" s="6">
        <v>675</v>
      </c>
      <c r="K777" s="6">
        <v>-454175.74357748945</v>
      </c>
    </row>
    <row r="778" spans="10:11" x14ac:dyDescent="0.2">
      <c r="J778" s="6">
        <v>676</v>
      </c>
      <c r="K778" s="6">
        <v>-394236.59200255899</v>
      </c>
    </row>
    <row r="779" spans="10:11" x14ac:dyDescent="0.2">
      <c r="J779" s="6">
        <v>677</v>
      </c>
      <c r="K779" s="6">
        <v>-493240.54459386843</v>
      </c>
    </row>
    <row r="780" spans="10:11" x14ac:dyDescent="0.2">
      <c r="J780" s="6">
        <v>678</v>
      </c>
      <c r="K780" s="6">
        <v>-440033.94362911757</v>
      </c>
    </row>
    <row r="781" spans="10:11" x14ac:dyDescent="0.2">
      <c r="J781" s="6">
        <v>679</v>
      </c>
      <c r="K781" s="6">
        <v>-446418.59718279616</v>
      </c>
    </row>
    <row r="782" spans="10:11" x14ac:dyDescent="0.2">
      <c r="J782" s="6">
        <v>680</v>
      </c>
      <c r="K782" s="6">
        <v>-462365.65793907474</v>
      </c>
    </row>
    <row r="783" spans="10:11" x14ac:dyDescent="0.2">
      <c r="J783" s="6">
        <v>681</v>
      </c>
      <c r="K783" s="6">
        <v>-465110.66587895452</v>
      </c>
    </row>
    <row r="784" spans="10:11" x14ac:dyDescent="0.2">
      <c r="J784" s="6">
        <v>682</v>
      </c>
      <c r="K784" s="6">
        <v>-412210.5064637718</v>
      </c>
    </row>
    <row r="785" spans="10:11" x14ac:dyDescent="0.2">
      <c r="J785" s="6">
        <v>683</v>
      </c>
      <c r="K785" s="6">
        <v>-429750.5948583557</v>
      </c>
    </row>
    <row r="786" spans="10:11" x14ac:dyDescent="0.2">
      <c r="J786" s="6">
        <v>684</v>
      </c>
      <c r="K786" s="6">
        <v>-397563.22971984849</v>
      </c>
    </row>
    <row r="787" spans="10:11" x14ac:dyDescent="0.2">
      <c r="J787" s="6">
        <v>685</v>
      </c>
      <c r="K787" s="6">
        <v>-473340.64069621509</v>
      </c>
    </row>
    <row r="788" spans="10:11" x14ac:dyDescent="0.2">
      <c r="J788" s="6">
        <v>686</v>
      </c>
      <c r="K788" s="6">
        <v>-455128.21274654451</v>
      </c>
    </row>
    <row r="789" spans="10:11" x14ac:dyDescent="0.2">
      <c r="J789" s="6">
        <v>687</v>
      </c>
      <c r="K789" s="6">
        <v>-411755.85438253422</v>
      </c>
    </row>
    <row r="790" spans="10:11" x14ac:dyDescent="0.2">
      <c r="J790" s="6">
        <v>688</v>
      </c>
      <c r="K790" s="6">
        <v>-442524.1127867137</v>
      </c>
    </row>
    <row r="791" spans="10:11" x14ac:dyDescent="0.2">
      <c r="J791" s="6">
        <v>689</v>
      </c>
      <c r="K791" s="6">
        <v>-455082.10744962387</v>
      </c>
    </row>
    <row r="792" spans="10:11" x14ac:dyDescent="0.2">
      <c r="J792" s="6">
        <v>690</v>
      </c>
      <c r="K792" s="6">
        <v>-415340.07231788436</v>
      </c>
    </row>
    <row r="793" spans="10:11" x14ac:dyDescent="0.2">
      <c r="J793" s="6">
        <v>691</v>
      </c>
      <c r="K793" s="6">
        <v>-447368.18668495666</v>
      </c>
    </row>
    <row r="794" spans="10:11" x14ac:dyDescent="0.2">
      <c r="J794" s="6">
        <v>692</v>
      </c>
      <c r="K794" s="6">
        <v>-420033.32384264271</v>
      </c>
    </row>
    <row r="795" spans="10:11" x14ac:dyDescent="0.2">
      <c r="J795" s="6">
        <v>693</v>
      </c>
      <c r="K795" s="6">
        <v>-421783.57379630744</v>
      </c>
    </row>
    <row r="796" spans="10:11" x14ac:dyDescent="0.2">
      <c r="J796" s="6">
        <v>694</v>
      </c>
      <c r="K796" s="6">
        <v>-461342.48685861693</v>
      </c>
    </row>
    <row r="797" spans="10:11" x14ac:dyDescent="0.2">
      <c r="J797" s="6">
        <v>695</v>
      </c>
      <c r="K797" s="6">
        <v>-432408.91144259262</v>
      </c>
    </row>
    <row r="798" spans="10:11" x14ac:dyDescent="0.2">
      <c r="J798" s="6">
        <v>696</v>
      </c>
      <c r="K798" s="6">
        <v>-429290.43549762067</v>
      </c>
    </row>
    <row r="799" spans="10:11" x14ac:dyDescent="0.2">
      <c r="J799" s="6">
        <v>697</v>
      </c>
      <c r="K799" s="6">
        <v>-455079.6133485855</v>
      </c>
    </row>
    <row r="800" spans="10:11" x14ac:dyDescent="0.2">
      <c r="J800" s="6">
        <v>698</v>
      </c>
      <c r="K800" s="6">
        <v>-446816.557993842</v>
      </c>
    </row>
    <row r="801" spans="10:11" x14ac:dyDescent="0.2">
      <c r="J801" s="6">
        <v>699</v>
      </c>
      <c r="K801" s="6">
        <v>-429318.03381021746</v>
      </c>
    </row>
    <row r="802" spans="10:11" x14ac:dyDescent="0.2">
      <c r="J802" s="6">
        <v>700</v>
      </c>
      <c r="K802" s="6">
        <v>-431542.41627831024</v>
      </c>
    </row>
    <row r="803" spans="10:11" x14ac:dyDescent="0.2">
      <c r="J803" s="6">
        <v>701</v>
      </c>
      <c r="K803" s="6">
        <v>-401184.20237775997</v>
      </c>
    </row>
    <row r="804" spans="10:11" x14ac:dyDescent="0.2">
      <c r="J804" s="6">
        <v>702</v>
      </c>
      <c r="K804" s="6">
        <v>-455053.57050444162</v>
      </c>
    </row>
    <row r="805" spans="10:11" x14ac:dyDescent="0.2">
      <c r="J805" s="6">
        <v>703</v>
      </c>
      <c r="K805" s="6">
        <v>-439034.81528306467</v>
      </c>
    </row>
    <row r="806" spans="10:11" x14ac:dyDescent="0.2">
      <c r="J806" s="6">
        <v>704</v>
      </c>
      <c r="K806" s="6">
        <v>-440194.34975271526</v>
      </c>
    </row>
    <row r="807" spans="10:11" x14ac:dyDescent="0.2">
      <c r="J807" s="6">
        <v>705</v>
      </c>
      <c r="K807" s="6">
        <v>-443270.99181979807</v>
      </c>
    </row>
    <row r="808" spans="10:11" x14ac:dyDescent="0.2">
      <c r="J808" s="6">
        <v>706</v>
      </c>
      <c r="K808" s="6">
        <v>-466389.26326189411</v>
      </c>
    </row>
    <row r="809" spans="10:11" x14ac:dyDescent="0.2">
      <c r="J809" s="6">
        <v>707</v>
      </c>
      <c r="K809" s="6">
        <v>-453352.85602455033</v>
      </c>
    </row>
    <row r="810" spans="10:11" x14ac:dyDescent="0.2">
      <c r="J810" s="6">
        <v>708</v>
      </c>
      <c r="K810" s="6">
        <v>-458669.32605331077</v>
      </c>
    </row>
    <row r="811" spans="10:11" x14ac:dyDescent="0.2">
      <c r="J811" s="6">
        <v>709</v>
      </c>
      <c r="K811" s="6">
        <v>-440220.80045391014</v>
      </c>
    </row>
    <row r="812" spans="10:11" x14ac:dyDescent="0.2">
      <c r="J812" s="6">
        <v>710</v>
      </c>
      <c r="K812" s="6">
        <v>-405512.82035935647</v>
      </c>
    </row>
    <row r="813" spans="10:11" x14ac:dyDescent="0.2">
      <c r="J813" s="6">
        <v>711</v>
      </c>
      <c r="K813" s="6">
        <v>-398989.71141186915</v>
      </c>
    </row>
    <row r="814" spans="10:11" x14ac:dyDescent="0.2">
      <c r="J814" s="6">
        <v>712</v>
      </c>
      <c r="K814" s="6">
        <v>-444504.21644824673</v>
      </c>
    </row>
    <row r="815" spans="10:11" x14ac:dyDescent="0.2">
      <c r="J815" s="6">
        <v>713</v>
      </c>
      <c r="K815" s="6">
        <v>-437264.70206821681</v>
      </c>
    </row>
    <row r="816" spans="10:11" x14ac:dyDescent="0.2">
      <c r="J816" s="6">
        <v>714</v>
      </c>
      <c r="K816" s="6">
        <v>-473697.96509244799</v>
      </c>
    </row>
    <row r="817" spans="10:11" x14ac:dyDescent="0.2">
      <c r="J817" s="6">
        <v>715</v>
      </c>
      <c r="K817" s="6">
        <v>-428888.90015495819</v>
      </c>
    </row>
    <row r="818" spans="10:11" x14ac:dyDescent="0.2">
      <c r="J818" s="6">
        <v>716</v>
      </c>
      <c r="K818" s="6">
        <v>-407332.4587893401</v>
      </c>
    </row>
    <row r="819" spans="10:11" x14ac:dyDescent="0.2">
      <c r="J819" s="6">
        <v>717</v>
      </c>
      <c r="K819" s="6">
        <v>-446396.47123759752</v>
      </c>
    </row>
    <row r="820" spans="10:11" x14ac:dyDescent="0.2">
      <c r="J820" s="6">
        <v>718</v>
      </c>
      <c r="K820" s="6">
        <v>-453554.03630037297</v>
      </c>
    </row>
    <row r="821" spans="10:11" x14ac:dyDescent="0.2">
      <c r="J821" s="6">
        <v>719</v>
      </c>
      <c r="K821" s="6">
        <v>-412654.29609327053</v>
      </c>
    </row>
    <row r="822" spans="10:11" x14ac:dyDescent="0.2">
      <c r="J822" s="6">
        <v>720</v>
      </c>
      <c r="K822" s="6">
        <v>-440290.28948216466</v>
      </c>
    </row>
    <row r="823" spans="10:11" x14ac:dyDescent="0.2">
      <c r="J823" s="6">
        <v>721</v>
      </c>
      <c r="K823" s="6">
        <v>-426595.95154411439</v>
      </c>
    </row>
    <row r="824" spans="10:11" x14ac:dyDescent="0.2">
      <c r="J824" s="6">
        <v>722</v>
      </c>
      <c r="K824" s="6">
        <v>-431942.90261473873</v>
      </c>
    </row>
    <row r="825" spans="10:11" x14ac:dyDescent="0.2">
      <c r="J825" s="6">
        <v>723</v>
      </c>
      <c r="K825" s="6">
        <v>-414769.63416569395</v>
      </c>
    </row>
    <row r="826" spans="10:11" x14ac:dyDescent="0.2">
      <c r="J826" s="6">
        <v>724</v>
      </c>
      <c r="K826" s="6">
        <v>-450330.98439616681</v>
      </c>
    </row>
    <row r="827" spans="10:11" x14ac:dyDescent="0.2">
      <c r="J827" s="6">
        <v>725</v>
      </c>
      <c r="K827" s="6">
        <v>-449546.64714871853</v>
      </c>
    </row>
    <row r="828" spans="10:11" x14ac:dyDescent="0.2">
      <c r="J828" s="6">
        <v>726</v>
      </c>
      <c r="K828" s="6">
        <v>-420669.25465252763</v>
      </c>
    </row>
    <row r="829" spans="10:11" x14ac:dyDescent="0.2">
      <c r="J829" s="6">
        <v>727</v>
      </c>
      <c r="K829" s="6">
        <v>-424521.23538346891</v>
      </c>
    </row>
    <row r="830" spans="10:11" x14ac:dyDescent="0.2">
      <c r="J830" s="6">
        <v>728</v>
      </c>
      <c r="K830" s="6">
        <v>-430364.12283812766</v>
      </c>
    </row>
    <row r="831" spans="10:11" x14ac:dyDescent="0.2">
      <c r="J831" s="6">
        <v>729</v>
      </c>
      <c r="K831" s="6">
        <v>-417058.16479131032</v>
      </c>
    </row>
    <row r="832" spans="10:11" x14ac:dyDescent="0.2">
      <c r="J832" s="6">
        <v>730</v>
      </c>
      <c r="K832" s="6">
        <v>-416107.65820837358</v>
      </c>
    </row>
    <row r="833" spans="10:11" x14ac:dyDescent="0.2">
      <c r="J833" s="6">
        <v>731</v>
      </c>
      <c r="K833" s="6">
        <v>-433304.74470168521</v>
      </c>
    </row>
    <row r="834" spans="10:11" x14ac:dyDescent="0.2">
      <c r="J834" s="6">
        <v>732</v>
      </c>
      <c r="K834" s="6">
        <v>-418339.43584750092</v>
      </c>
    </row>
    <row r="835" spans="10:11" x14ac:dyDescent="0.2">
      <c r="J835" s="6">
        <v>733</v>
      </c>
      <c r="K835" s="6">
        <v>-452540.1654872091</v>
      </c>
    </row>
    <row r="836" spans="10:11" x14ac:dyDescent="0.2">
      <c r="J836" s="6">
        <v>734</v>
      </c>
      <c r="K836" s="6">
        <v>-472750.01188590151</v>
      </c>
    </row>
    <row r="837" spans="10:11" x14ac:dyDescent="0.2">
      <c r="J837" s="6">
        <v>735</v>
      </c>
      <c r="K837" s="6">
        <v>-400087.36718485248</v>
      </c>
    </row>
    <row r="838" spans="10:11" x14ac:dyDescent="0.2">
      <c r="J838" s="6">
        <v>736</v>
      </c>
      <c r="K838" s="6">
        <v>-451031.81310402683</v>
      </c>
    </row>
    <row r="839" spans="10:11" x14ac:dyDescent="0.2">
      <c r="J839" s="6">
        <v>737</v>
      </c>
      <c r="K839" s="6">
        <v>-439550.28639403015</v>
      </c>
    </row>
    <row r="840" spans="10:11" x14ac:dyDescent="0.2">
      <c r="J840" s="6">
        <v>738</v>
      </c>
      <c r="K840" s="6">
        <v>-437679.88815382612</v>
      </c>
    </row>
    <row r="841" spans="10:11" x14ac:dyDescent="0.2">
      <c r="J841" s="6">
        <v>739</v>
      </c>
      <c r="K841" s="6">
        <v>-473218.94160223677</v>
      </c>
    </row>
    <row r="842" spans="10:11" x14ac:dyDescent="0.2">
      <c r="J842" s="6">
        <v>740</v>
      </c>
      <c r="K842" s="6">
        <v>-429157.17073814204</v>
      </c>
    </row>
    <row r="843" spans="10:11" x14ac:dyDescent="0.2">
      <c r="J843" s="6">
        <v>741</v>
      </c>
      <c r="K843" s="6">
        <v>-413698.4136857097</v>
      </c>
    </row>
    <row r="844" spans="10:11" x14ac:dyDescent="0.2">
      <c r="J844" s="6">
        <v>742</v>
      </c>
      <c r="K844" s="6">
        <v>-438948.21017509856</v>
      </c>
    </row>
    <row r="845" spans="10:11" x14ac:dyDescent="0.2">
      <c r="J845" s="6">
        <v>743</v>
      </c>
      <c r="K845" s="6">
        <v>-451110.62528108677</v>
      </c>
    </row>
    <row r="846" spans="10:11" x14ac:dyDescent="0.2">
      <c r="J846" s="6">
        <v>744</v>
      </c>
      <c r="K846" s="6">
        <v>-411630.81184407102</v>
      </c>
    </row>
    <row r="847" spans="10:11" x14ac:dyDescent="0.2">
      <c r="J847" s="6">
        <v>745</v>
      </c>
      <c r="K847" s="6">
        <v>-406297.60403324955</v>
      </c>
    </row>
    <row r="848" spans="10:11" x14ac:dyDescent="0.2">
      <c r="J848" s="6">
        <v>746</v>
      </c>
      <c r="K848" s="6">
        <v>-495384.93174715224</v>
      </c>
    </row>
    <row r="849" spans="10:11" x14ac:dyDescent="0.2">
      <c r="J849" s="6">
        <v>747</v>
      </c>
      <c r="K849" s="6">
        <v>-471556.27060793614</v>
      </c>
    </row>
    <row r="850" spans="10:11" x14ac:dyDescent="0.2">
      <c r="J850" s="6">
        <v>748</v>
      </c>
      <c r="K850" s="6">
        <v>-416672.92948644492</v>
      </c>
    </row>
    <row r="851" spans="10:11" x14ac:dyDescent="0.2">
      <c r="J851" s="6">
        <v>749</v>
      </c>
      <c r="K851" s="6">
        <v>-427361.8721284605</v>
      </c>
    </row>
    <row r="852" spans="10:11" x14ac:dyDescent="0.2">
      <c r="J852" s="6">
        <v>750</v>
      </c>
      <c r="K852" s="6">
        <v>-441479.78542806051</v>
      </c>
    </row>
    <row r="853" spans="10:11" x14ac:dyDescent="0.2">
      <c r="J853" s="6">
        <v>751</v>
      </c>
      <c r="K853" s="6">
        <v>-423998.37411755754</v>
      </c>
    </row>
    <row r="854" spans="10:11" x14ac:dyDescent="0.2">
      <c r="J854" s="6">
        <v>752</v>
      </c>
      <c r="K854" s="6">
        <v>-459317.3338453396</v>
      </c>
    </row>
    <row r="855" spans="10:11" x14ac:dyDescent="0.2">
      <c r="J855" s="6">
        <v>753</v>
      </c>
      <c r="K855" s="6">
        <v>-429914.85903499625</v>
      </c>
    </row>
    <row r="856" spans="10:11" x14ac:dyDescent="0.2">
      <c r="J856" s="6">
        <v>754</v>
      </c>
      <c r="K856" s="6">
        <v>-433382.7854045647</v>
      </c>
    </row>
    <row r="857" spans="10:11" x14ac:dyDescent="0.2">
      <c r="J857" s="6">
        <v>755</v>
      </c>
      <c r="K857" s="6">
        <v>-416499.53069465375</v>
      </c>
    </row>
    <row r="858" spans="10:11" x14ac:dyDescent="0.2">
      <c r="J858" s="6">
        <v>756</v>
      </c>
      <c r="K858" s="6">
        <v>-421047.80608595087</v>
      </c>
    </row>
    <row r="859" spans="10:11" x14ac:dyDescent="0.2">
      <c r="J859" s="6">
        <v>757</v>
      </c>
      <c r="K859" s="6">
        <v>-460977.6499202507</v>
      </c>
    </row>
    <row r="860" spans="10:11" x14ac:dyDescent="0.2">
      <c r="J860" s="6">
        <v>758</v>
      </c>
      <c r="K860" s="6">
        <v>-413681.15567652695</v>
      </c>
    </row>
    <row r="861" spans="10:11" x14ac:dyDescent="0.2">
      <c r="J861" s="6">
        <v>759</v>
      </c>
      <c r="K861" s="6">
        <v>-432157.5303097986</v>
      </c>
    </row>
    <row r="862" spans="10:11" x14ac:dyDescent="0.2">
      <c r="J862" s="6">
        <v>760</v>
      </c>
      <c r="K862" s="6">
        <v>-408097.70858964993</v>
      </c>
    </row>
    <row r="863" spans="10:11" x14ac:dyDescent="0.2">
      <c r="J863" s="6">
        <v>761</v>
      </c>
      <c r="K863" s="6">
        <v>-406109.79322844534</v>
      </c>
    </row>
    <row r="864" spans="10:11" x14ac:dyDescent="0.2">
      <c r="J864" s="6">
        <v>762</v>
      </c>
      <c r="K864" s="6">
        <v>-435006.50497136964</v>
      </c>
    </row>
    <row r="865" spans="10:11" x14ac:dyDescent="0.2">
      <c r="J865" s="6">
        <v>763</v>
      </c>
      <c r="K865" s="6">
        <v>-445131.51604080631</v>
      </c>
    </row>
    <row r="866" spans="10:11" x14ac:dyDescent="0.2">
      <c r="J866" s="6">
        <v>764</v>
      </c>
      <c r="K866" s="6">
        <v>-442790.22009073594</v>
      </c>
    </row>
    <row r="867" spans="10:11" x14ac:dyDescent="0.2">
      <c r="J867" s="6">
        <v>765</v>
      </c>
      <c r="K867" s="6">
        <v>-425319.42217158189</v>
      </c>
    </row>
    <row r="868" spans="10:11" x14ac:dyDescent="0.2">
      <c r="J868" s="6">
        <v>766</v>
      </c>
      <c r="K868" s="6">
        <v>-450337.72716730461</v>
      </c>
    </row>
    <row r="869" spans="10:11" x14ac:dyDescent="0.2">
      <c r="J869" s="6">
        <v>767</v>
      </c>
      <c r="K869" s="6">
        <v>-421581.56283573504</v>
      </c>
    </row>
    <row r="870" spans="10:11" x14ac:dyDescent="0.2">
      <c r="J870" s="6">
        <v>768</v>
      </c>
      <c r="K870" s="6">
        <v>-431073.53826657822</v>
      </c>
    </row>
    <row r="871" spans="10:11" x14ac:dyDescent="0.2">
      <c r="J871" s="6">
        <v>769</v>
      </c>
      <c r="K871" s="6">
        <v>-428259.2783228294</v>
      </c>
    </row>
    <row r="872" spans="10:11" x14ac:dyDescent="0.2">
      <c r="J872" s="6">
        <v>770</v>
      </c>
      <c r="K872" s="6">
        <v>-451262.1676836877</v>
      </c>
    </row>
    <row r="873" spans="10:11" x14ac:dyDescent="0.2">
      <c r="J873" s="6">
        <v>771</v>
      </c>
      <c r="K873" s="6">
        <v>-462941.01026208262</v>
      </c>
    </row>
    <row r="874" spans="10:11" x14ac:dyDescent="0.2">
      <c r="J874" s="6">
        <v>772</v>
      </c>
      <c r="K874" s="6">
        <v>-445495.37337940349</v>
      </c>
    </row>
    <row r="875" spans="10:11" x14ac:dyDescent="0.2">
      <c r="J875" s="6">
        <v>773</v>
      </c>
      <c r="K875" s="6">
        <v>-439156.81476198969</v>
      </c>
    </row>
    <row r="876" spans="10:11" x14ac:dyDescent="0.2">
      <c r="J876" s="6">
        <v>774</v>
      </c>
      <c r="K876" s="6">
        <v>-430000.89875635848</v>
      </c>
    </row>
    <row r="877" spans="10:11" x14ac:dyDescent="0.2">
      <c r="J877" s="6">
        <v>775</v>
      </c>
      <c r="K877" s="6">
        <v>-427341.45741145249</v>
      </c>
    </row>
    <row r="878" spans="10:11" x14ac:dyDescent="0.2">
      <c r="J878" s="6">
        <v>776</v>
      </c>
      <c r="K878" s="6">
        <v>-419947.43192909751</v>
      </c>
    </row>
    <row r="879" spans="10:11" x14ac:dyDescent="0.2">
      <c r="J879" s="6">
        <v>777</v>
      </c>
      <c r="K879" s="6">
        <v>-442021.09762666927</v>
      </c>
    </row>
    <row r="880" spans="10:11" x14ac:dyDescent="0.2">
      <c r="J880" s="6">
        <v>778</v>
      </c>
      <c r="K880" s="6">
        <v>-446871.47171830334</v>
      </c>
    </row>
    <row r="881" spans="10:11" x14ac:dyDescent="0.2">
      <c r="J881" s="6">
        <v>779</v>
      </c>
      <c r="K881" s="6">
        <v>-478539.76696989808</v>
      </c>
    </row>
    <row r="882" spans="10:11" x14ac:dyDescent="0.2">
      <c r="J882" s="6">
        <v>780</v>
      </c>
      <c r="K882" s="6">
        <v>-443620.37229299027</v>
      </c>
    </row>
    <row r="883" spans="10:11" x14ac:dyDescent="0.2">
      <c r="J883" s="6">
        <v>781</v>
      </c>
      <c r="K883" s="6">
        <v>-446562.18997094739</v>
      </c>
    </row>
    <row r="884" spans="10:11" x14ac:dyDescent="0.2">
      <c r="J884" s="6">
        <v>782</v>
      </c>
      <c r="K884" s="6">
        <v>-426718.52271418803</v>
      </c>
    </row>
    <row r="885" spans="10:11" x14ac:dyDescent="0.2">
      <c r="J885" s="6">
        <v>783</v>
      </c>
      <c r="K885" s="6">
        <v>-399422.07480995543</v>
      </c>
    </row>
    <row r="886" spans="10:11" x14ac:dyDescent="0.2">
      <c r="J886" s="6">
        <v>784</v>
      </c>
      <c r="K886" s="6">
        <v>-424509.46121336875</v>
      </c>
    </row>
    <row r="887" spans="10:11" x14ac:dyDescent="0.2">
      <c r="J887" s="6">
        <v>785</v>
      </c>
      <c r="K887" s="6">
        <v>-426952.99955787102</v>
      </c>
    </row>
    <row r="888" spans="10:11" x14ac:dyDescent="0.2">
      <c r="J888" s="6">
        <v>786</v>
      </c>
      <c r="K888" s="6">
        <v>-420643.649208177</v>
      </c>
    </row>
    <row r="889" spans="10:11" x14ac:dyDescent="0.2">
      <c r="J889" s="6">
        <v>787</v>
      </c>
      <c r="K889" s="6">
        <v>-443458.28546639119</v>
      </c>
    </row>
    <row r="890" spans="10:11" x14ac:dyDescent="0.2">
      <c r="J890" s="6">
        <v>788</v>
      </c>
      <c r="K890" s="6">
        <v>-458229.8613037981</v>
      </c>
    </row>
    <row r="891" spans="10:11" x14ac:dyDescent="0.2">
      <c r="J891" s="6">
        <v>789</v>
      </c>
      <c r="K891" s="6">
        <v>-437245.75170031935</v>
      </c>
    </row>
    <row r="892" spans="10:11" x14ac:dyDescent="0.2">
      <c r="J892" s="6">
        <v>790</v>
      </c>
      <c r="K892" s="6">
        <v>-433224.74620318954</v>
      </c>
    </row>
    <row r="893" spans="10:11" x14ac:dyDescent="0.2">
      <c r="J893" s="6">
        <v>791</v>
      </c>
      <c r="K893" s="6">
        <v>-430385.74279950414</v>
      </c>
    </row>
    <row r="894" spans="10:11" x14ac:dyDescent="0.2">
      <c r="J894" s="6">
        <v>792</v>
      </c>
      <c r="K894" s="6">
        <v>-464032.64248642925</v>
      </c>
    </row>
    <row r="895" spans="10:11" x14ac:dyDescent="0.2">
      <c r="J895" s="6">
        <v>793</v>
      </c>
      <c r="K895" s="6">
        <v>-433924.42369979701</v>
      </c>
    </row>
    <row r="896" spans="10:11" x14ac:dyDescent="0.2">
      <c r="J896" s="6">
        <v>794</v>
      </c>
      <c r="K896" s="6">
        <v>-419686.34415426361</v>
      </c>
    </row>
    <row r="897" spans="10:11" x14ac:dyDescent="0.2">
      <c r="J897" s="6">
        <v>795</v>
      </c>
      <c r="K897" s="6">
        <v>-439944.24089809606</v>
      </c>
    </row>
    <row r="898" spans="10:11" x14ac:dyDescent="0.2">
      <c r="J898" s="6">
        <v>796</v>
      </c>
      <c r="K898" s="6">
        <v>-445541.82012864912</v>
      </c>
    </row>
    <row r="899" spans="10:11" x14ac:dyDescent="0.2">
      <c r="J899" s="6">
        <v>797</v>
      </c>
      <c r="K899" s="6">
        <v>-476188.53508077835</v>
      </c>
    </row>
    <row r="900" spans="10:11" x14ac:dyDescent="0.2">
      <c r="J900" s="6">
        <v>798</v>
      </c>
      <c r="K900" s="6">
        <v>-450976.5519142152</v>
      </c>
    </row>
    <row r="901" spans="10:11" x14ac:dyDescent="0.2">
      <c r="J901" s="6">
        <v>799</v>
      </c>
      <c r="K901" s="6">
        <v>-409057.1496330935</v>
      </c>
    </row>
    <row r="902" spans="10:11" x14ac:dyDescent="0.2">
      <c r="J902" s="6">
        <v>800</v>
      </c>
      <c r="K902" s="6">
        <v>-487764.3927710398</v>
      </c>
    </row>
    <row r="903" spans="10:11" x14ac:dyDescent="0.2">
      <c r="J903" s="6">
        <v>801</v>
      </c>
      <c r="K903" s="6">
        <v>-436880.50074009702</v>
      </c>
    </row>
    <row r="904" spans="10:11" x14ac:dyDescent="0.2">
      <c r="J904" s="6">
        <v>802</v>
      </c>
      <c r="K904" s="6">
        <v>-407309.83177890407</v>
      </c>
    </row>
    <row r="905" spans="10:11" x14ac:dyDescent="0.2">
      <c r="J905" s="6">
        <v>803</v>
      </c>
      <c r="K905" s="6">
        <v>-422242.23380869237</v>
      </c>
    </row>
    <row r="906" spans="10:11" x14ac:dyDescent="0.2">
      <c r="J906" s="6">
        <v>804</v>
      </c>
      <c r="K906" s="6">
        <v>-421611.49852842558</v>
      </c>
    </row>
    <row r="907" spans="10:11" x14ac:dyDescent="0.2">
      <c r="J907" s="6">
        <v>805</v>
      </c>
      <c r="K907" s="6">
        <v>-386690.42802558152</v>
      </c>
    </row>
    <row r="908" spans="10:11" x14ac:dyDescent="0.2">
      <c r="J908" s="6">
        <v>806</v>
      </c>
      <c r="K908" s="6">
        <v>-466241.64161247108</v>
      </c>
    </row>
    <row r="909" spans="10:11" x14ac:dyDescent="0.2">
      <c r="J909" s="6">
        <v>807</v>
      </c>
      <c r="K909" s="6">
        <v>-426908.09122559417</v>
      </c>
    </row>
    <row r="910" spans="10:11" x14ac:dyDescent="0.2">
      <c r="J910" s="6">
        <v>808</v>
      </c>
      <c r="K910" s="6">
        <v>-392333.45497511618</v>
      </c>
    </row>
    <row r="911" spans="10:11" x14ac:dyDescent="0.2">
      <c r="J911" s="6">
        <v>809</v>
      </c>
      <c r="K911" s="6">
        <v>-452810.38430251455</v>
      </c>
    </row>
    <row r="912" spans="10:11" x14ac:dyDescent="0.2">
      <c r="J912" s="6">
        <v>810</v>
      </c>
      <c r="K912" s="6">
        <v>-424488.94176790945</v>
      </c>
    </row>
    <row r="913" spans="10:11" x14ac:dyDescent="0.2">
      <c r="J913" s="6">
        <v>811</v>
      </c>
      <c r="K913" s="6">
        <v>-450633.28724482417</v>
      </c>
    </row>
    <row r="914" spans="10:11" x14ac:dyDescent="0.2">
      <c r="J914" s="6">
        <v>812</v>
      </c>
      <c r="K914" s="6">
        <v>-468471.12916900532</v>
      </c>
    </row>
    <row r="915" spans="10:11" x14ac:dyDescent="0.2">
      <c r="J915" s="6">
        <v>813</v>
      </c>
      <c r="K915" s="6">
        <v>-426335.95020585088</v>
      </c>
    </row>
    <row r="916" spans="10:11" x14ac:dyDescent="0.2">
      <c r="J916" s="6">
        <v>814</v>
      </c>
      <c r="K916" s="6">
        <v>-455308.97012731194</v>
      </c>
    </row>
    <row r="917" spans="10:11" x14ac:dyDescent="0.2">
      <c r="J917" s="6">
        <v>815</v>
      </c>
      <c r="K917" s="6">
        <v>-457966.99545587681</v>
      </c>
    </row>
    <row r="918" spans="10:11" x14ac:dyDescent="0.2">
      <c r="J918" s="6">
        <v>816</v>
      </c>
      <c r="K918" s="6">
        <v>-438602.12327467639</v>
      </c>
    </row>
    <row r="919" spans="10:11" x14ac:dyDescent="0.2">
      <c r="J919" s="6">
        <v>817</v>
      </c>
      <c r="K919" s="6">
        <v>-476682.7672987085</v>
      </c>
    </row>
    <row r="920" spans="10:11" x14ac:dyDescent="0.2">
      <c r="J920" s="6">
        <v>818</v>
      </c>
      <c r="K920" s="6">
        <v>-414524.6353746457</v>
      </c>
    </row>
    <row r="921" spans="10:11" x14ac:dyDescent="0.2">
      <c r="J921" s="6">
        <v>819</v>
      </c>
      <c r="K921" s="6">
        <v>-426451.37812563754</v>
      </c>
    </row>
    <row r="922" spans="10:11" x14ac:dyDescent="0.2">
      <c r="J922" s="6">
        <v>820</v>
      </c>
      <c r="K922" s="6">
        <v>-454275.81887328537</v>
      </c>
    </row>
    <row r="923" spans="10:11" x14ac:dyDescent="0.2">
      <c r="J923" s="6">
        <v>821</v>
      </c>
      <c r="K923" s="6">
        <v>-405883.45535597426</v>
      </c>
    </row>
    <row r="924" spans="10:11" x14ac:dyDescent="0.2">
      <c r="J924" s="6">
        <v>822</v>
      </c>
      <c r="K924" s="6">
        <v>-452813.26522815385</v>
      </c>
    </row>
    <row r="925" spans="10:11" x14ac:dyDescent="0.2">
      <c r="J925" s="6">
        <v>823</v>
      </c>
      <c r="K925" s="6">
        <v>-435909.34159870195</v>
      </c>
    </row>
    <row r="926" spans="10:11" x14ac:dyDescent="0.2">
      <c r="J926" s="6">
        <v>824</v>
      </c>
      <c r="K926" s="6">
        <v>-389854.64975807257</v>
      </c>
    </row>
    <row r="927" spans="10:11" x14ac:dyDescent="0.2">
      <c r="J927" s="6">
        <v>825</v>
      </c>
      <c r="K927" s="6">
        <v>-460853.94474951783</v>
      </c>
    </row>
    <row r="928" spans="10:11" x14ac:dyDescent="0.2">
      <c r="J928" s="6">
        <v>826</v>
      </c>
      <c r="K928" s="6">
        <v>-467877.50227763725</v>
      </c>
    </row>
    <row r="929" spans="10:11" x14ac:dyDescent="0.2">
      <c r="J929" s="6">
        <v>827</v>
      </c>
      <c r="K929" s="6">
        <v>-433565.25559604942</v>
      </c>
    </row>
    <row r="930" spans="10:11" x14ac:dyDescent="0.2">
      <c r="J930" s="6">
        <v>828</v>
      </c>
      <c r="K930" s="6">
        <v>-450648.68858268118</v>
      </c>
    </row>
    <row r="931" spans="10:11" x14ac:dyDescent="0.2">
      <c r="J931" s="6">
        <v>829</v>
      </c>
      <c r="K931" s="6">
        <v>-427842.39931926172</v>
      </c>
    </row>
    <row r="932" spans="10:11" x14ac:dyDescent="0.2">
      <c r="J932" s="6">
        <v>830</v>
      </c>
      <c r="K932" s="6">
        <v>-484145.12987409969</v>
      </c>
    </row>
    <row r="933" spans="10:11" x14ac:dyDescent="0.2">
      <c r="J933" s="6">
        <v>831</v>
      </c>
      <c r="K933" s="6">
        <v>-437091.33496042481</v>
      </c>
    </row>
    <row r="934" spans="10:11" x14ac:dyDescent="0.2">
      <c r="J934" s="6">
        <v>832</v>
      </c>
      <c r="K934" s="6">
        <v>-464094.62693527446</v>
      </c>
    </row>
    <row r="935" spans="10:11" x14ac:dyDescent="0.2">
      <c r="J935" s="6">
        <v>833</v>
      </c>
      <c r="K935" s="6">
        <v>-467896.43864853057</v>
      </c>
    </row>
    <row r="936" spans="10:11" x14ac:dyDescent="0.2">
      <c r="J936" s="6">
        <v>834</v>
      </c>
      <c r="K936" s="6">
        <v>-475404.16826526611</v>
      </c>
    </row>
    <row r="937" spans="10:11" x14ac:dyDescent="0.2">
      <c r="J937" s="6">
        <v>835</v>
      </c>
      <c r="K937" s="6">
        <v>-436366.76419940457</v>
      </c>
    </row>
    <row r="938" spans="10:11" x14ac:dyDescent="0.2">
      <c r="J938" s="6">
        <v>836</v>
      </c>
      <c r="K938" s="6">
        <v>-463614.24360854225</v>
      </c>
    </row>
    <row r="939" spans="10:11" x14ac:dyDescent="0.2">
      <c r="J939" s="6">
        <v>837</v>
      </c>
      <c r="K939" s="6">
        <v>-447188.60809823341</v>
      </c>
    </row>
    <row r="940" spans="10:11" x14ac:dyDescent="0.2">
      <c r="J940" s="6">
        <v>838</v>
      </c>
      <c r="K940" s="6">
        <v>-434811.66796795366</v>
      </c>
    </row>
    <row r="941" spans="10:11" x14ac:dyDescent="0.2">
      <c r="J941" s="6">
        <v>839</v>
      </c>
      <c r="K941" s="6">
        <v>-471259.32039792323</v>
      </c>
    </row>
    <row r="942" spans="10:11" x14ac:dyDescent="0.2">
      <c r="J942" s="6">
        <v>840</v>
      </c>
      <c r="K942" s="6">
        <v>-442272.12148901151</v>
      </c>
    </row>
    <row r="943" spans="10:11" x14ac:dyDescent="0.2">
      <c r="J943" s="6">
        <v>841</v>
      </c>
      <c r="K943" s="6">
        <v>-455835.25041100226</v>
      </c>
    </row>
    <row r="944" spans="10:11" x14ac:dyDescent="0.2">
      <c r="J944" s="6">
        <v>842</v>
      </c>
      <c r="K944" s="6">
        <v>-404359.10425687477</v>
      </c>
    </row>
    <row r="945" spans="10:11" x14ac:dyDescent="0.2">
      <c r="J945" s="6">
        <v>843</v>
      </c>
      <c r="K945" s="6">
        <v>-456052.00357890653</v>
      </c>
    </row>
    <row r="946" spans="10:11" x14ac:dyDescent="0.2">
      <c r="J946" s="6">
        <v>844</v>
      </c>
      <c r="K946" s="6">
        <v>-460969.98881914112</v>
      </c>
    </row>
    <row r="947" spans="10:11" x14ac:dyDescent="0.2">
      <c r="J947" s="6">
        <v>845</v>
      </c>
      <c r="K947" s="6">
        <v>-488607.60447063734</v>
      </c>
    </row>
    <row r="948" spans="10:11" x14ac:dyDescent="0.2">
      <c r="J948" s="6">
        <v>846</v>
      </c>
      <c r="K948" s="6">
        <v>-459542.7117802283</v>
      </c>
    </row>
    <row r="949" spans="10:11" x14ac:dyDescent="0.2">
      <c r="J949" s="6">
        <v>847</v>
      </c>
      <c r="K949" s="6">
        <v>-462564.13453217986</v>
      </c>
    </row>
    <row r="950" spans="10:11" x14ac:dyDescent="0.2">
      <c r="J950" s="6">
        <v>848</v>
      </c>
      <c r="K950" s="6">
        <v>-482840.94283453695</v>
      </c>
    </row>
    <row r="951" spans="10:11" x14ac:dyDescent="0.2">
      <c r="J951" s="6">
        <v>849</v>
      </c>
      <c r="K951" s="6">
        <v>-466936.30031731876</v>
      </c>
    </row>
    <row r="952" spans="10:11" x14ac:dyDescent="0.2">
      <c r="J952" s="6">
        <v>850</v>
      </c>
      <c r="K952" s="6">
        <v>-466285.05009040865</v>
      </c>
    </row>
    <row r="953" spans="10:11" x14ac:dyDescent="0.2">
      <c r="J953" s="6">
        <v>851</v>
      </c>
      <c r="K953" s="6">
        <v>-449864.87285565695</v>
      </c>
    </row>
    <row r="954" spans="10:11" x14ac:dyDescent="0.2">
      <c r="J954" s="6">
        <v>852</v>
      </c>
      <c r="K954" s="6">
        <v>-439607.03787220473</v>
      </c>
    </row>
    <row r="955" spans="10:11" x14ac:dyDescent="0.2">
      <c r="J955" s="6">
        <v>853</v>
      </c>
      <c r="K955" s="6">
        <v>-465340.06018399494</v>
      </c>
    </row>
    <row r="956" spans="10:11" x14ac:dyDescent="0.2">
      <c r="J956" s="6">
        <v>854</v>
      </c>
      <c r="K956" s="6">
        <v>-465884.62285166816</v>
      </c>
    </row>
    <row r="957" spans="10:11" x14ac:dyDescent="0.2">
      <c r="J957" s="6">
        <v>855</v>
      </c>
      <c r="K957" s="6">
        <v>-404055.68721717305</v>
      </c>
    </row>
    <row r="958" spans="10:11" x14ac:dyDescent="0.2">
      <c r="J958" s="6">
        <v>856</v>
      </c>
      <c r="K958" s="6">
        <v>-483226.29722117621</v>
      </c>
    </row>
    <row r="959" spans="10:11" x14ac:dyDescent="0.2">
      <c r="J959" s="6">
        <v>857</v>
      </c>
      <c r="K959" s="6">
        <v>-418501.28756400192</v>
      </c>
    </row>
    <row r="960" spans="10:11" x14ac:dyDescent="0.2">
      <c r="J960" s="6">
        <v>858</v>
      </c>
      <c r="K960" s="6">
        <v>-439899.32260590489</v>
      </c>
    </row>
    <row r="961" spans="10:11" x14ac:dyDescent="0.2">
      <c r="J961" s="6">
        <v>859</v>
      </c>
      <c r="K961" s="6">
        <v>-434652.56585816207</v>
      </c>
    </row>
    <row r="962" spans="10:11" x14ac:dyDescent="0.2">
      <c r="J962" s="6">
        <v>860</v>
      </c>
      <c r="K962" s="6">
        <v>-453646.60084881366</v>
      </c>
    </row>
    <row r="963" spans="10:11" x14ac:dyDescent="0.2">
      <c r="J963" s="6">
        <v>861</v>
      </c>
      <c r="K963" s="6">
        <v>-443535.74143279641</v>
      </c>
    </row>
    <row r="964" spans="10:11" x14ac:dyDescent="0.2">
      <c r="J964" s="6">
        <v>862</v>
      </c>
      <c r="K964" s="6">
        <v>-447410.70359846606</v>
      </c>
    </row>
    <row r="965" spans="10:11" x14ac:dyDescent="0.2">
      <c r="J965" s="6">
        <v>863</v>
      </c>
      <c r="K965" s="6">
        <v>-427333.82601558295</v>
      </c>
    </row>
    <row r="966" spans="10:11" x14ac:dyDescent="0.2">
      <c r="J966" s="6">
        <v>864</v>
      </c>
      <c r="K966" s="6">
        <v>-435165.20262243907</v>
      </c>
    </row>
    <row r="967" spans="10:11" x14ac:dyDescent="0.2">
      <c r="J967" s="6">
        <v>865</v>
      </c>
      <c r="K967" s="6">
        <v>-436229.34400208871</v>
      </c>
    </row>
    <row r="968" spans="10:11" x14ac:dyDescent="0.2">
      <c r="J968" s="6">
        <v>866</v>
      </c>
      <c r="K968" s="6">
        <v>-428232.5811910354</v>
      </c>
    </row>
    <row r="969" spans="10:11" x14ac:dyDescent="0.2">
      <c r="J969" s="6">
        <v>867</v>
      </c>
      <c r="K969" s="6">
        <v>-503081.76015154325</v>
      </c>
    </row>
    <row r="970" spans="10:11" x14ac:dyDescent="0.2">
      <c r="J970" s="6">
        <v>868</v>
      </c>
      <c r="K970" s="6">
        <v>-443158.43806129886</v>
      </c>
    </row>
    <row r="971" spans="10:11" x14ac:dyDescent="0.2">
      <c r="J971" s="6">
        <v>869</v>
      </c>
      <c r="K971" s="6">
        <v>-454276.34841510933</v>
      </c>
    </row>
    <row r="972" spans="10:11" x14ac:dyDescent="0.2">
      <c r="J972" s="6">
        <v>870</v>
      </c>
      <c r="K972" s="6">
        <v>-393553.31343350129</v>
      </c>
    </row>
    <row r="973" spans="10:11" x14ac:dyDescent="0.2">
      <c r="J973" s="6">
        <v>871</v>
      </c>
      <c r="K973" s="6">
        <v>-471763.05809440149</v>
      </c>
    </row>
    <row r="974" spans="10:11" x14ac:dyDescent="0.2">
      <c r="J974" s="6">
        <v>872</v>
      </c>
      <c r="K974" s="6">
        <v>-433053.76639296173</v>
      </c>
    </row>
    <row r="975" spans="10:11" x14ac:dyDescent="0.2">
      <c r="J975" s="6">
        <v>873</v>
      </c>
      <c r="K975" s="6">
        <v>-468986.6474106884</v>
      </c>
    </row>
    <row r="976" spans="10:11" x14ac:dyDescent="0.2">
      <c r="J976" s="6">
        <v>874</v>
      </c>
      <c r="K976" s="6">
        <v>-403777.91204921075</v>
      </c>
    </row>
    <row r="977" spans="10:11" x14ac:dyDescent="0.2">
      <c r="J977" s="6">
        <v>875</v>
      </c>
      <c r="K977" s="6">
        <v>-430979.02447398769</v>
      </c>
    </row>
    <row r="978" spans="10:11" x14ac:dyDescent="0.2">
      <c r="J978" s="6">
        <v>876</v>
      </c>
      <c r="K978" s="6">
        <v>-417927.95578658365</v>
      </c>
    </row>
    <row r="979" spans="10:11" x14ac:dyDescent="0.2">
      <c r="J979" s="6">
        <v>877</v>
      </c>
      <c r="K979" s="6">
        <v>-444312.96471598587</v>
      </c>
    </row>
    <row r="980" spans="10:11" x14ac:dyDescent="0.2">
      <c r="J980" s="6">
        <v>878</v>
      </c>
      <c r="K980" s="6">
        <v>-409925.12664267921</v>
      </c>
    </row>
    <row r="981" spans="10:11" x14ac:dyDescent="0.2">
      <c r="J981" s="6">
        <v>879</v>
      </c>
      <c r="K981" s="6">
        <v>-434611.05715046078</v>
      </c>
    </row>
    <row r="982" spans="10:11" x14ac:dyDescent="0.2">
      <c r="J982" s="6">
        <v>880</v>
      </c>
      <c r="K982" s="6">
        <v>-428224.98254065844</v>
      </c>
    </row>
    <row r="983" spans="10:11" x14ac:dyDescent="0.2">
      <c r="J983" s="6">
        <v>881</v>
      </c>
      <c r="K983" s="6">
        <v>-422026.98369700491</v>
      </c>
    </row>
    <row r="984" spans="10:11" x14ac:dyDescent="0.2">
      <c r="J984" s="6">
        <v>882</v>
      </c>
      <c r="K984" s="6">
        <v>-401718.51569383836</v>
      </c>
    </row>
    <row r="985" spans="10:11" x14ac:dyDescent="0.2">
      <c r="J985" s="6">
        <v>883</v>
      </c>
      <c r="K985" s="6">
        <v>-429870.91620238742</v>
      </c>
    </row>
    <row r="986" spans="10:11" x14ac:dyDescent="0.2">
      <c r="J986" s="6">
        <v>884</v>
      </c>
      <c r="K986" s="6">
        <v>-456430.24817332305</v>
      </c>
    </row>
    <row r="987" spans="10:11" x14ac:dyDescent="0.2">
      <c r="J987" s="6">
        <v>885</v>
      </c>
      <c r="K987" s="6">
        <v>-414750.92631595198</v>
      </c>
    </row>
    <row r="988" spans="10:11" x14ac:dyDescent="0.2">
      <c r="J988" s="6">
        <v>886</v>
      </c>
      <c r="K988" s="6">
        <v>-455464.57401362469</v>
      </c>
    </row>
    <row r="989" spans="10:11" x14ac:dyDescent="0.2">
      <c r="J989" s="6">
        <v>887</v>
      </c>
      <c r="K989" s="6">
        <v>-450336.31233985419</v>
      </c>
    </row>
    <row r="990" spans="10:11" x14ac:dyDescent="0.2">
      <c r="J990" s="6">
        <v>888</v>
      </c>
      <c r="K990" s="6">
        <v>-460718.05551569234</v>
      </c>
    </row>
    <row r="991" spans="10:11" x14ac:dyDescent="0.2">
      <c r="J991" s="6">
        <v>889</v>
      </c>
      <c r="K991" s="6">
        <v>-441193.52328426845</v>
      </c>
    </row>
    <row r="992" spans="10:11" x14ac:dyDescent="0.2">
      <c r="J992" s="6">
        <v>890</v>
      </c>
      <c r="K992" s="6">
        <v>-443132.47835645912</v>
      </c>
    </row>
    <row r="993" spans="10:11" x14ac:dyDescent="0.2">
      <c r="J993" s="6">
        <v>891</v>
      </c>
      <c r="K993" s="6">
        <v>-467445.4965646686</v>
      </c>
    </row>
    <row r="994" spans="10:11" x14ac:dyDescent="0.2">
      <c r="J994" s="6">
        <v>892</v>
      </c>
      <c r="K994" s="6">
        <v>-428416.01501443214</v>
      </c>
    </row>
    <row r="995" spans="10:11" x14ac:dyDescent="0.2">
      <c r="J995" s="6">
        <v>893</v>
      </c>
      <c r="K995" s="6">
        <v>-421122.70307641494</v>
      </c>
    </row>
    <row r="996" spans="10:11" x14ac:dyDescent="0.2">
      <c r="J996" s="6">
        <v>894</v>
      </c>
      <c r="K996" s="6">
        <v>-448540.46669532446</v>
      </c>
    </row>
    <row r="997" spans="10:11" x14ac:dyDescent="0.2">
      <c r="J997" s="6">
        <v>895</v>
      </c>
      <c r="K997" s="6">
        <v>-427513.78102426976</v>
      </c>
    </row>
    <row r="998" spans="10:11" x14ac:dyDescent="0.2">
      <c r="J998" s="6">
        <v>896</v>
      </c>
      <c r="K998" s="6">
        <v>-436386.46160392358</v>
      </c>
    </row>
    <row r="999" spans="10:11" x14ac:dyDescent="0.2">
      <c r="J999" s="6">
        <v>897</v>
      </c>
      <c r="K999" s="6">
        <v>-488021.38228402007</v>
      </c>
    </row>
    <row r="1000" spans="10:11" x14ac:dyDescent="0.2">
      <c r="J1000" s="6">
        <v>898</v>
      </c>
      <c r="K1000" s="6">
        <v>-429836.19438812684</v>
      </c>
    </row>
    <row r="1001" spans="10:11" x14ac:dyDescent="0.2">
      <c r="J1001" s="6">
        <v>899</v>
      </c>
      <c r="K1001" s="6">
        <v>-419943.29676852317</v>
      </c>
    </row>
    <row r="1002" spans="10:11" x14ac:dyDescent="0.2">
      <c r="J1002" s="6">
        <v>900</v>
      </c>
      <c r="K1002" s="6">
        <v>-462037.79256617546</v>
      </c>
    </row>
    <row r="1003" spans="10:11" x14ac:dyDescent="0.2">
      <c r="J1003" s="6">
        <v>901</v>
      </c>
      <c r="K1003" s="6">
        <v>-406093.92475605849</v>
      </c>
    </row>
    <row r="1004" spans="10:11" x14ac:dyDescent="0.2">
      <c r="J1004" s="6">
        <v>902</v>
      </c>
      <c r="K1004" s="6">
        <v>-473767.4496281743</v>
      </c>
    </row>
    <row r="1005" spans="10:11" x14ac:dyDescent="0.2">
      <c r="J1005" s="6">
        <v>903</v>
      </c>
      <c r="K1005" s="6">
        <v>-439739.98915812484</v>
      </c>
    </row>
    <row r="1006" spans="10:11" x14ac:dyDescent="0.2">
      <c r="J1006" s="6">
        <v>904</v>
      </c>
      <c r="K1006" s="6">
        <v>-426896.93160457769</v>
      </c>
    </row>
    <row r="1007" spans="10:11" x14ac:dyDescent="0.2">
      <c r="J1007" s="6">
        <v>905</v>
      </c>
      <c r="K1007" s="6">
        <v>-424230.21031985944</v>
      </c>
    </row>
    <row r="1008" spans="10:11" x14ac:dyDescent="0.2">
      <c r="J1008" s="6">
        <v>906</v>
      </c>
      <c r="K1008" s="6">
        <v>-459223.66293547035</v>
      </c>
    </row>
    <row r="1009" spans="10:11" x14ac:dyDescent="0.2">
      <c r="J1009" s="6">
        <v>907</v>
      </c>
      <c r="K1009" s="6">
        <v>-403366.43421992054</v>
      </c>
    </row>
    <row r="1010" spans="10:11" x14ac:dyDescent="0.2">
      <c r="J1010" s="6">
        <v>908</v>
      </c>
      <c r="K1010" s="6">
        <v>-453137.42502402281</v>
      </c>
    </row>
    <row r="1011" spans="10:11" x14ac:dyDescent="0.2">
      <c r="J1011" s="6">
        <v>909</v>
      </c>
      <c r="K1011" s="6">
        <v>-422750.08313839341</v>
      </c>
    </row>
    <row r="1012" spans="10:11" x14ac:dyDescent="0.2">
      <c r="J1012" s="6">
        <v>910</v>
      </c>
      <c r="K1012" s="6">
        <v>-447812.66911184147</v>
      </c>
    </row>
    <row r="1013" spans="10:11" x14ac:dyDescent="0.2">
      <c r="J1013" s="6">
        <v>911</v>
      </c>
      <c r="K1013" s="6">
        <v>-449476.39584875794</v>
      </c>
    </row>
    <row r="1014" spans="10:11" x14ac:dyDescent="0.2">
      <c r="J1014" s="6">
        <v>912</v>
      </c>
      <c r="K1014" s="6">
        <v>-473494.73989865399</v>
      </c>
    </row>
    <row r="1015" spans="10:11" x14ac:dyDescent="0.2">
      <c r="J1015" s="6">
        <v>913</v>
      </c>
      <c r="K1015" s="6">
        <v>-425737.67229289544</v>
      </c>
    </row>
    <row r="1016" spans="10:11" x14ac:dyDescent="0.2">
      <c r="J1016" s="6">
        <v>914</v>
      </c>
      <c r="K1016" s="6">
        <v>-453201.22693520639</v>
      </c>
    </row>
    <row r="1017" spans="10:11" x14ac:dyDescent="0.2">
      <c r="J1017" s="6">
        <v>915</v>
      </c>
      <c r="K1017" s="6">
        <v>-448451.94628456398</v>
      </c>
    </row>
    <row r="1018" spans="10:11" x14ac:dyDescent="0.2">
      <c r="J1018" s="6">
        <v>916</v>
      </c>
      <c r="K1018" s="6">
        <v>-403973.09948115656</v>
      </c>
    </row>
    <row r="1019" spans="10:11" x14ac:dyDescent="0.2">
      <c r="J1019" s="6">
        <v>917</v>
      </c>
      <c r="K1019" s="6">
        <v>-473703.11684779881</v>
      </c>
    </row>
    <row r="1020" spans="10:11" x14ac:dyDescent="0.2">
      <c r="J1020" s="6">
        <v>918</v>
      </c>
      <c r="K1020" s="6">
        <v>-413108.13466129883</v>
      </c>
    </row>
    <row r="1021" spans="10:11" x14ac:dyDescent="0.2">
      <c r="J1021" s="6">
        <v>919</v>
      </c>
      <c r="K1021" s="6">
        <v>-452476.81301115145</v>
      </c>
    </row>
    <row r="1022" spans="10:11" x14ac:dyDescent="0.2">
      <c r="J1022" s="6">
        <v>920</v>
      </c>
      <c r="K1022" s="6">
        <v>-451729.54682926135</v>
      </c>
    </row>
    <row r="1023" spans="10:11" x14ac:dyDescent="0.2">
      <c r="J1023" s="6">
        <v>921</v>
      </c>
      <c r="K1023" s="6">
        <v>-421608.06559772225</v>
      </c>
    </row>
    <row r="1024" spans="10:11" x14ac:dyDescent="0.2">
      <c r="J1024" s="6">
        <v>922</v>
      </c>
      <c r="K1024" s="6">
        <v>-431831.3357899026</v>
      </c>
    </row>
    <row r="1025" spans="10:11" x14ac:dyDescent="0.2">
      <c r="J1025" s="6">
        <v>923</v>
      </c>
      <c r="K1025" s="6">
        <v>-447727.33044228615</v>
      </c>
    </row>
    <row r="1026" spans="10:11" x14ac:dyDescent="0.2">
      <c r="J1026" s="6">
        <v>924</v>
      </c>
      <c r="K1026" s="6">
        <v>-452054.3525330702</v>
      </c>
    </row>
    <row r="1027" spans="10:11" x14ac:dyDescent="0.2">
      <c r="J1027" s="6">
        <v>925</v>
      </c>
      <c r="K1027" s="6">
        <v>-454809.95461878413</v>
      </c>
    </row>
    <row r="1028" spans="10:11" x14ac:dyDescent="0.2">
      <c r="J1028" s="6">
        <v>926</v>
      </c>
      <c r="K1028" s="6">
        <v>-500590.5884165513</v>
      </c>
    </row>
    <row r="1029" spans="10:11" x14ac:dyDescent="0.2">
      <c r="J1029" s="6">
        <v>927</v>
      </c>
      <c r="K1029" s="6">
        <v>-432951.07704204257</v>
      </c>
    </row>
    <row r="1030" spans="10:11" x14ac:dyDescent="0.2">
      <c r="J1030" s="6">
        <v>928</v>
      </c>
      <c r="K1030" s="6">
        <v>-441062.82409285195</v>
      </c>
    </row>
    <row r="1031" spans="10:11" x14ac:dyDescent="0.2">
      <c r="J1031" s="6">
        <v>929</v>
      </c>
      <c r="K1031" s="6">
        <v>-432166.38225501496</v>
      </c>
    </row>
    <row r="1032" spans="10:11" x14ac:dyDescent="0.2">
      <c r="J1032" s="6">
        <v>930</v>
      </c>
      <c r="K1032" s="6">
        <v>-409485.90788946184</v>
      </c>
    </row>
    <row r="1033" spans="10:11" x14ac:dyDescent="0.2">
      <c r="J1033" s="6">
        <v>931</v>
      </c>
      <c r="K1033" s="6">
        <v>-430916.84983437904</v>
      </c>
    </row>
    <row r="1034" spans="10:11" x14ac:dyDescent="0.2">
      <c r="J1034" s="6">
        <v>932</v>
      </c>
      <c r="K1034" s="6">
        <v>-404301.54530257371</v>
      </c>
    </row>
    <row r="1035" spans="10:11" x14ac:dyDescent="0.2">
      <c r="J1035" s="6">
        <v>933</v>
      </c>
      <c r="K1035" s="6">
        <v>-446942.99670881598</v>
      </c>
    </row>
    <row r="1036" spans="10:11" x14ac:dyDescent="0.2">
      <c r="J1036" s="6">
        <v>934</v>
      </c>
      <c r="K1036" s="6">
        <v>-440625.09703683818</v>
      </c>
    </row>
    <row r="1037" spans="10:11" x14ac:dyDescent="0.2">
      <c r="J1037" s="6">
        <v>935</v>
      </c>
      <c r="K1037" s="6">
        <v>-414064.49840435805</v>
      </c>
    </row>
    <row r="1038" spans="10:11" x14ac:dyDescent="0.2">
      <c r="J1038" s="6">
        <v>936</v>
      </c>
      <c r="K1038" s="6">
        <v>-439308.91286024573</v>
      </c>
    </row>
    <row r="1039" spans="10:11" x14ac:dyDescent="0.2">
      <c r="J1039" s="6">
        <v>937</v>
      </c>
      <c r="K1039" s="6">
        <v>-446420.48902387323</v>
      </c>
    </row>
    <row r="1040" spans="10:11" x14ac:dyDescent="0.2">
      <c r="J1040" s="6">
        <v>938</v>
      </c>
      <c r="K1040" s="6">
        <v>-408339.81781378487</v>
      </c>
    </row>
    <row r="1041" spans="10:11" x14ac:dyDescent="0.2">
      <c r="J1041" s="6">
        <v>939</v>
      </c>
      <c r="K1041" s="6">
        <v>-430264.67250836443</v>
      </c>
    </row>
    <row r="1042" spans="10:11" x14ac:dyDescent="0.2">
      <c r="J1042" s="6">
        <v>940</v>
      </c>
      <c r="K1042" s="6">
        <v>-445490.27589404699</v>
      </c>
    </row>
    <row r="1043" spans="10:11" x14ac:dyDescent="0.2">
      <c r="J1043" s="6">
        <v>941</v>
      </c>
      <c r="K1043" s="6">
        <v>-457789.22021890891</v>
      </c>
    </row>
    <row r="1044" spans="10:11" x14ac:dyDescent="0.2">
      <c r="J1044" s="6">
        <v>942</v>
      </c>
      <c r="K1044" s="6">
        <v>-410702.50030020985</v>
      </c>
    </row>
    <row r="1045" spans="10:11" x14ac:dyDescent="0.2">
      <c r="J1045" s="6">
        <v>943</v>
      </c>
      <c r="K1045" s="6">
        <v>-451365.52167094481</v>
      </c>
    </row>
    <row r="1046" spans="10:11" x14ac:dyDescent="0.2">
      <c r="J1046" s="6">
        <v>944</v>
      </c>
      <c r="K1046" s="6">
        <v>-454289.67706928158</v>
      </c>
    </row>
    <row r="1047" spans="10:11" x14ac:dyDescent="0.2">
      <c r="J1047" s="6">
        <v>945</v>
      </c>
      <c r="K1047" s="6">
        <v>-471880.48465384281</v>
      </c>
    </row>
    <row r="1048" spans="10:11" x14ac:dyDescent="0.2">
      <c r="J1048" s="6">
        <v>946</v>
      </c>
      <c r="K1048" s="6">
        <v>-413942.97042618529</v>
      </c>
    </row>
    <row r="1049" spans="10:11" x14ac:dyDescent="0.2">
      <c r="J1049" s="6">
        <v>947</v>
      </c>
      <c r="K1049" s="6">
        <v>-469482.38625436166</v>
      </c>
    </row>
    <row r="1050" spans="10:11" x14ac:dyDescent="0.2">
      <c r="J1050" s="6">
        <v>948</v>
      </c>
      <c r="K1050" s="6">
        <v>-431697.73475461465</v>
      </c>
    </row>
    <row r="1051" spans="10:11" x14ac:dyDescent="0.2">
      <c r="J1051" s="6">
        <v>949</v>
      </c>
      <c r="K1051" s="6">
        <v>-457433.81999239529</v>
      </c>
    </row>
    <row r="1052" spans="10:11" x14ac:dyDescent="0.2">
      <c r="J1052" s="6">
        <v>950</v>
      </c>
      <c r="K1052" s="6">
        <v>-431932.41838029225</v>
      </c>
    </row>
    <row r="1053" spans="10:11" x14ac:dyDescent="0.2">
      <c r="J1053" s="6">
        <v>951</v>
      </c>
      <c r="K1053" s="6">
        <v>-409109.3083684335</v>
      </c>
    </row>
    <row r="1054" spans="10:11" x14ac:dyDescent="0.2">
      <c r="J1054" s="6">
        <v>952</v>
      </c>
      <c r="K1054" s="6">
        <v>-434755.97123533988</v>
      </c>
    </row>
    <row r="1055" spans="10:11" x14ac:dyDescent="0.2">
      <c r="J1055" s="6">
        <v>953</v>
      </c>
      <c r="K1055" s="6">
        <v>-475314.90797077952</v>
      </c>
    </row>
    <row r="1056" spans="10:11" x14ac:dyDescent="0.2">
      <c r="J1056" s="6">
        <v>954</v>
      </c>
      <c r="K1056" s="6">
        <v>-456454.3022906066</v>
      </c>
    </row>
    <row r="1057" spans="10:11" x14ac:dyDescent="0.2">
      <c r="J1057" s="6">
        <v>955</v>
      </c>
      <c r="K1057" s="6">
        <v>-417727.60823970661</v>
      </c>
    </row>
    <row r="1058" spans="10:11" x14ac:dyDescent="0.2">
      <c r="J1058" s="6">
        <v>956</v>
      </c>
      <c r="K1058" s="6">
        <v>-467956.91335476149</v>
      </c>
    </row>
    <row r="1059" spans="10:11" x14ac:dyDescent="0.2">
      <c r="J1059" s="6">
        <v>957</v>
      </c>
      <c r="K1059" s="6">
        <v>-436180.6919754289</v>
      </c>
    </row>
    <row r="1060" spans="10:11" x14ac:dyDescent="0.2">
      <c r="J1060" s="6">
        <v>958</v>
      </c>
      <c r="K1060" s="6">
        <v>-428691.23980680894</v>
      </c>
    </row>
    <row r="1061" spans="10:11" x14ac:dyDescent="0.2">
      <c r="J1061" s="6">
        <v>959</v>
      </c>
      <c r="K1061" s="6">
        <v>-438528.54429641727</v>
      </c>
    </row>
    <row r="1062" spans="10:11" x14ac:dyDescent="0.2">
      <c r="J1062" s="6">
        <v>960</v>
      </c>
      <c r="K1062" s="6">
        <v>-438783.29938183795</v>
      </c>
    </row>
    <row r="1063" spans="10:11" x14ac:dyDescent="0.2">
      <c r="J1063" s="6">
        <v>961</v>
      </c>
      <c r="K1063" s="6">
        <v>-412198.6945279818</v>
      </c>
    </row>
    <row r="1064" spans="10:11" x14ac:dyDescent="0.2">
      <c r="J1064" s="6">
        <v>962</v>
      </c>
      <c r="K1064" s="6">
        <v>-443959.15786404331</v>
      </c>
    </row>
    <row r="1065" spans="10:11" x14ac:dyDescent="0.2">
      <c r="J1065" s="6">
        <v>963</v>
      </c>
      <c r="K1065" s="6">
        <v>-448111.75963354768</v>
      </c>
    </row>
    <row r="1066" spans="10:11" x14ac:dyDescent="0.2">
      <c r="J1066" s="6">
        <v>964</v>
      </c>
      <c r="K1066" s="6">
        <v>-451481.25615702901</v>
      </c>
    </row>
    <row r="1067" spans="10:11" x14ac:dyDescent="0.2">
      <c r="J1067" s="6">
        <v>965</v>
      </c>
      <c r="K1067" s="6">
        <v>-431976.6818041912</v>
      </c>
    </row>
    <row r="1068" spans="10:11" x14ac:dyDescent="0.2">
      <c r="J1068" s="6">
        <v>966</v>
      </c>
      <c r="K1068" s="6">
        <v>-439966.87855421414</v>
      </c>
    </row>
    <row r="1069" spans="10:11" x14ac:dyDescent="0.2">
      <c r="J1069" s="6">
        <v>967</v>
      </c>
      <c r="K1069" s="6">
        <v>-464633.33997714735</v>
      </c>
    </row>
    <row r="1070" spans="10:11" x14ac:dyDescent="0.2">
      <c r="J1070" s="6">
        <v>968</v>
      </c>
      <c r="K1070" s="6">
        <v>-436363.22914309771</v>
      </c>
    </row>
    <row r="1071" spans="10:11" x14ac:dyDescent="0.2">
      <c r="J1071" s="6">
        <v>969</v>
      </c>
      <c r="K1071" s="6">
        <v>-447262.85522123112</v>
      </c>
    </row>
    <row r="1072" spans="10:11" x14ac:dyDescent="0.2">
      <c r="J1072" s="6">
        <v>970</v>
      </c>
      <c r="K1072" s="6">
        <v>-446785.3994552138</v>
      </c>
    </row>
    <row r="1073" spans="10:11" x14ac:dyDescent="0.2">
      <c r="J1073" s="6">
        <v>971</v>
      </c>
      <c r="K1073" s="6">
        <v>-469572.38453941914</v>
      </c>
    </row>
    <row r="1074" spans="10:11" x14ac:dyDescent="0.2">
      <c r="J1074" s="6">
        <v>972</v>
      </c>
      <c r="K1074" s="6">
        <v>-436398.00133647025</v>
      </c>
    </row>
    <row r="1075" spans="10:11" x14ac:dyDescent="0.2">
      <c r="J1075" s="6">
        <v>973</v>
      </c>
      <c r="K1075" s="6">
        <v>-460267.70016382064</v>
      </c>
    </row>
    <row r="1076" spans="10:11" x14ac:dyDescent="0.2">
      <c r="J1076" s="6">
        <v>974</v>
      </c>
      <c r="K1076" s="6">
        <v>-420701.38612480747</v>
      </c>
    </row>
    <row r="1077" spans="10:11" x14ac:dyDescent="0.2">
      <c r="J1077" s="6">
        <v>975</v>
      </c>
      <c r="K1077" s="6">
        <v>-445423.50037724373</v>
      </c>
    </row>
    <row r="1078" spans="10:11" x14ac:dyDescent="0.2">
      <c r="J1078" s="6">
        <v>976</v>
      </c>
      <c r="K1078" s="6">
        <v>-416866.50636717124</v>
      </c>
    </row>
    <row r="1079" spans="10:11" x14ac:dyDescent="0.2">
      <c r="J1079" s="6">
        <v>977</v>
      </c>
      <c r="K1079" s="6">
        <v>-460799.93124870618</v>
      </c>
    </row>
    <row r="1080" spans="10:11" x14ac:dyDescent="0.2">
      <c r="J1080" s="6">
        <v>978</v>
      </c>
      <c r="K1080" s="6">
        <v>-427000.00427192927</v>
      </c>
    </row>
    <row r="1081" spans="10:11" x14ac:dyDescent="0.2">
      <c r="J1081" s="6">
        <v>979</v>
      </c>
      <c r="K1081" s="6">
        <v>-404443.54345642088</v>
      </c>
    </row>
    <row r="1082" spans="10:11" x14ac:dyDescent="0.2">
      <c r="J1082" s="6">
        <v>980</v>
      </c>
      <c r="K1082" s="6">
        <v>-424122.39152032149</v>
      </c>
    </row>
    <row r="1083" spans="10:11" x14ac:dyDescent="0.2">
      <c r="J1083" s="6">
        <v>981</v>
      </c>
      <c r="K1083" s="6">
        <v>-454245.74344067572</v>
      </c>
    </row>
    <row r="1084" spans="10:11" x14ac:dyDescent="0.2">
      <c r="J1084" s="6">
        <v>982</v>
      </c>
      <c r="K1084" s="6">
        <v>-438021.60725005961</v>
      </c>
    </row>
    <row r="1085" spans="10:11" x14ac:dyDescent="0.2">
      <c r="J1085" s="6">
        <v>983</v>
      </c>
      <c r="K1085" s="6">
        <v>-470101.12801829312</v>
      </c>
    </row>
    <row r="1086" spans="10:11" x14ac:dyDescent="0.2">
      <c r="J1086" s="6">
        <v>984</v>
      </c>
      <c r="K1086" s="6">
        <v>-393655.3579500647</v>
      </c>
    </row>
    <row r="1087" spans="10:11" x14ac:dyDescent="0.2">
      <c r="J1087" s="6">
        <v>985</v>
      </c>
      <c r="K1087" s="6">
        <v>-402046.42781482462</v>
      </c>
    </row>
    <row r="1088" spans="10:11" x14ac:dyDescent="0.2">
      <c r="J1088" s="6">
        <v>986</v>
      </c>
      <c r="K1088" s="6">
        <v>-454567.34912055498</v>
      </c>
    </row>
    <row r="1089" spans="10:11" x14ac:dyDescent="0.2">
      <c r="J1089" s="6">
        <v>987</v>
      </c>
      <c r="K1089" s="6">
        <v>-429091.63031895395</v>
      </c>
    </row>
    <row r="1090" spans="10:11" x14ac:dyDescent="0.2">
      <c r="J1090" s="6">
        <v>988</v>
      </c>
      <c r="K1090" s="6">
        <v>-455206.00495871558</v>
      </c>
    </row>
    <row r="1091" spans="10:11" x14ac:dyDescent="0.2">
      <c r="J1091" s="6">
        <v>989</v>
      </c>
      <c r="K1091" s="6">
        <v>-436849.07102521032</v>
      </c>
    </row>
    <row r="1092" spans="10:11" x14ac:dyDescent="0.2">
      <c r="J1092" s="6">
        <v>990</v>
      </c>
      <c r="K1092" s="6">
        <v>-451193.49138073158</v>
      </c>
    </row>
    <row r="1093" spans="10:11" x14ac:dyDescent="0.2">
      <c r="J1093" s="6">
        <v>991</v>
      </c>
      <c r="K1093" s="6">
        <v>-423930.94847179821</v>
      </c>
    </row>
    <row r="1094" spans="10:11" x14ac:dyDescent="0.2">
      <c r="J1094" s="6">
        <v>992</v>
      </c>
      <c r="K1094" s="6">
        <v>-464260.57880626572</v>
      </c>
    </row>
    <row r="1095" spans="10:11" x14ac:dyDescent="0.2">
      <c r="J1095" s="6">
        <v>993</v>
      </c>
      <c r="K1095" s="6">
        <v>-469947.80085762322</v>
      </c>
    </row>
    <row r="1096" spans="10:11" x14ac:dyDescent="0.2">
      <c r="J1096" s="6">
        <v>994</v>
      </c>
      <c r="K1096" s="6">
        <v>-393689.26592836861</v>
      </c>
    </row>
    <row r="1097" spans="10:11" x14ac:dyDescent="0.2">
      <c r="J1097" s="6">
        <v>995</v>
      </c>
      <c r="K1097" s="6">
        <v>-435820.96708182397</v>
      </c>
    </row>
    <row r="1098" spans="10:11" x14ac:dyDescent="0.2">
      <c r="J1098" s="6">
        <v>996</v>
      </c>
      <c r="K1098" s="6">
        <v>-450177.26199099468</v>
      </c>
    </row>
    <row r="1099" spans="10:11" x14ac:dyDescent="0.2">
      <c r="J1099" s="6">
        <v>997</v>
      </c>
      <c r="K1099" s="6">
        <v>-433151.54500806861</v>
      </c>
    </row>
    <row r="1100" spans="10:11" x14ac:dyDescent="0.2">
      <c r="J1100" s="6">
        <v>998</v>
      </c>
      <c r="K1100" s="6">
        <v>-431976.42345940653</v>
      </c>
    </row>
    <row r="1101" spans="10:11" x14ac:dyDescent="0.2">
      <c r="J1101" s="6">
        <v>999</v>
      </c>
      <c r="K1101" s="6">
        <v>-442320.17977814609</v>
      </c>
    </row>
    <row r="1102" spans="10:11" x14ac:dyDescent="0.2">
      <c r="J1102" s="6">
        <v>1000</v>
      </c>
      <c r="K1102" s="6">
        <v>-427008.9925341772</v>
      </c>
    </row>
  </sheetData>
  <mergeCells count="5">
    <mergeCell ref="J96:K96"/>
    <mergeCell ref="J101:K101"/>
    <mergeCell ref="AA4:AB4"/>
    <mergeCell ref="AC4:AI4"/>
    <mergeCell ref="B94:E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QuantumVault</vt:lpstr>
      <vt:lpstr>QuantumVault VAN=0</vt:lpstr>
      <vt:lpstr>QuantumVault MONTECARLO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Martínez Ronda</dc:creator>
  <cp:lastModifiedBy>Alejandro Martínez Ronda</cp:lastModifiedBy>
  <dcterms:created xsi:type="dcterms:W3CDTF">2026-06-17T11:11:12Z</dcterms:created>
  <dcterms:modified xsi:type="dcterms:W3CDTF">2026-06-18T11:51:05Z</dcterms:modified>
</cp:coreProperties>
</file>